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oyeesthereva87gmail.com/Documents/Research 1/prompts 2/Mobile-Anti-Forensics-2025_1/RQ1/"/>
    </mc:Choice>
  </mc:AlternateContent>
  <xr:revisionPtr revIDLastSave="0" documentId="13_ncr:1_{68C429B3-1E00-0A43-9468-FFEA93FDFD33}" xr6:coauthVersionLast="47" xr6:coauthVersionMax="47" xr10:uidLastSave="{00000000-0000-0000-0000-000000000000}"/>
  <bookViews>
    <workbookView xWindow="0" yWindow="500" windowWidth="28800" windowHeight="16420" xr2:uid="{7C97D46C-DD39-2E4B-8693-48CDFDEBC358}"/>
  </bookViews>
  <sheets>
    <sheet name="Sheet1" sheetId="1" r:id="rId1"/>
    <sheet name="Sheet4" sheetId="4" r:id="rId2"/>
    <sheet name="Sheet5" sheetId="5" r:id="rId3"/>
  </sheets>
  <definedNames>
    <definedName name="_xlnm._FilterDatabase" localSheetId="0" hidden="1">Sheet1!$D$1:$D$198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4" l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" i="4"/>
  <c r="A199" i="4"/>
  <c r="A200" i="4"/>
  <c r="H200" i="4"/>
  <c r="I199" i="4"/>
  <c r="I200" i="4"/>
  <c r="J199" i="4"/>
  <c r="J200" i="4"/>
  <c r="K199" i="4"/>
  <c r="K200" i="4"/>
  <c r="L199" i="4"/>
  <c r="L200" i="4"/>
  <c r="M199" i="4"/>
  <c r="M200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L2" i="4"/>
  <c r="O6" i="4" s="1"/>
  <c r="K2" i="4"/>
  <c r="J2" i="4"/>
  <c r="I2" i="4"/>
  <c r="H2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3" i="1"/>
  <c r="A2" i="1"/>
  <c r="O3" i="4" l="1"/>
  <c r="O4" i="4"/>
  <c r="O5" i="4"/>
  <c r="O2" i="4"/>
  <c r="H199" i="4"/>
</calcChain>
</file>

<file path=xl/sharedStrings.xml><?xml version="1.0" encoding="utf-8"?>
<sst xmlns="http://schemas.openxmlformats.org/spreadsheetml/2006/main" count="2439" uniqueCount="327">
  <si>
    <t>title</t>
  </si>
  <si>
    <t>domain</t>
  </si>
  <si>
    <t>Ai-based</t>
  </si>
  <si>
    <t>publishers</t>
  </si>
  <si>
    <t>```json
{
  "title": "Discovering spoliation of evidence through identifying traces on deleted Ô¨Åles in macOS"
}
```</t>
  </si>
  <si>
    <t>filesystem</t>
  </si>
  <si>
    <t>Elsevier</t>
  </si>
  <si>
    <t>```json
{
  "title": "Fool me once: A systematic review of techniques to authenticate digital artefacts"
}
```</t>
  </si>
  <si>
    <t>General</t>
  </si>
  <si>
    <t>```json
{
  "title": "Forensic analysis of ephemeral messaging applications: Disappearing messages or evidential data?"
}
```</t>
  </si>
  <si>
    <t>mobile</t>
  </si>
  <si>
    <t>```json
{
  "title": "Identification of data wiping tools based on deletion patterns in ReFS $Logfile"
}
```</t>
  </si>
  <si>
    <t>```json
{
  "title": "Data remnants analysis of document files in Windows: Microsoft 365 as a case study"
}
```</t>
  </si>
  <si>
    <t>```json
{
  "title": "Hit and run: Forensic vehicle event reconstruction through driver-based cloud data from Progressive‚Äôs snapshot application"
}
```</t>
  </si>
  <si>
    <t>```json
{
  "title": "Evaluating Commercial Counter-Forensic Tools"
}
```</t>
  </si>
  <si>
    <t>```json
{
  "title": "Time for Truth: Forensic Analysis of NTFS Timestamps"
}
```</t>
  </si>
  <si>
    <t>ACM</t>
  </si>
  <si>
    <t>```json
{
  "title": "NULL Byte Injection: Anti-Forensic Technique for Data Hiding in FAT32 File System"
}
```</t>
  </si>
  <si>
    <t>```json
{
  "title": "Analyzing Security Vulnerability and Forensic Investigation of ROS2: A Case Study"
}
```</t>
  </si>
  <si>
    <t>```json
{
  "title": "Forget About It: Batched Database Sanitization"
}
```</t>
  </si>
  <si>
    <t>database</t>
  </si>
  <si>
    <t>```json
{
  "title": "Forensic Trace Analysis for MP3 based Stego-Malware: Exemplary Study for Stego-Algorithm and Capacity Attribution to derive YARA Rules for Malware Identification"
}
```</t>
  </si>
  <si>
    <t>```json
{
  "title": "A Survey On Anti-Forensics Techniques"
}
```</t>
  </si>
  <si>
    <t>IEEE</t>
  </si>
  <si>
    <t>```json
{
  "title": "Advanced Industrial Espionage: Mobile Device as Anti-Forensic and Anonymization Tool"
}
```</t>
  </si>
  <si>
    <t>```json
{
  "title": "AfterImage: Evading Traditional Indicator of Compromise (IOC) Blocking"
}
```</t>
  </si>
  <si>
    <t>network</t>
  </si>
  <si>
    <t>```json
{
  "title": "An Investigation into the Efficacy of Three Erasure Tools under Windows 7"
}
```</t>
  </si>
  <si>
    <t>```json
{
  "title": "An Overview on Handling Anti Forensic Issues in Android Devices Using Forensic Automator Tool"
}
```</t>
  </si>
  <si>
    <t>AI based</t>
  </si>
  <si>
    <t>```json
{
  "title": "Analyzing Edge IoT Digital Forensics Tools: Cyber Attacks Reconstruction and Anti-Forensics Enhancements"
}
```</t>
  </si>
  <si>
    <t>IoT</t>
  </si>
  <si>
    <t>```json
{
  "title": "Anti-Forensic Challenges in Digital Forensics Investigations: An Overview of Techniques and Tools"
}
```</t>
  </si>
  <si>
    <t>```json
{
  "title": "Anti-Forensic Deepfake Personas and How To Spot Them"
}
```</t>
  </si>
  <si>
    <t>```json
{
  "title": "BDC-GAN: Bidirectional Conversion Between Computer-Generated and Natural Facial Images for Anti-Forensics"
}
```</t>
  </si>
  <si>
    <t>```json
{
  "title": "Comparative Analysis of Recovery Tools For Digital Forensic Evidence Using NIST Framework 800-101 R1"
}
```</t>
  </si>
  <si>
    <t>```json
{
  "title": "Data Wiping Tool: ByteEditor Technique"
}
```</t>
  </si>
  <si>
    <t>```json
{
  "title": "Deployment and Detection of Anti-Forensics Shredding Technique in Android Mobile Devices"
}
```</t>
  </si>
  <si>
    <t>```json
{
  "title": "DETECTABLE TAMPERING OF JPEG ANTI-FORENSICS"
}
```</t>
  </si>
  <si>
    <t>```json
{
  "title": "Digital Forensic Tools: Comparison of Autopsy TSK and Forensic Explorer"
}
```</t>
  </si>
  <si>
    <t>```json
{
  "title": "Domain-Agnostic Document Authentication Against Practical Recapturing Attacks"
}
```</t>
  </si>
  <si>
    <t>```json
{
  "title": "ExS-GAN: Synthesizing Anti-Forensics Images via Extra Supervised GAN"
}
```</t>
  </si>
  <si>
    <t>```json
{
  "title": "Experimental Evaluation of e¬∑MMC Data Recovery"
}
```</t>
  </si>
  <si>
    <t>```json
{
  "title": "Exploring the Use of Tails Operating System in Cybercrime and its Impact on Law Enforcement Investigations"
}
```</t>
  </si>
  <si>
    <t>```json
{
  "title": "GIMD-Net: An effective General-purpose Image Manipulation Detection Network, even under anti-forensic attacks"
}
```</t>
  </si>
  <si>
    <t>```json
{
  "title": "Identifying Bugs In Digital Forensic Tools"
}
```</t>
  </si>
  <si>
    <t>```json
{
  "title": "Lessons Learned from an Investigation into the Analysis Avoidance Techniques of Malicious Software"
}
```</t>
  </si>
  <si>
    <t>```json
{
  "title": "Supervised Anti-Forensic DNN to Detect Multiple-time Compressed JPEG Tampered Images"
}
```</t>
  </si>
  <si>
    <t>```json
{
  "title": "WiDeS: Wiping Detection using System-calls - An Anti-Forensic Resistant Approach"
}
```</t>
  </si>
  <si>
    <t>```json
{
  "title": "MISLGAN: AN ANTI-FORENSIC CAMERA MODEL FALSIFICATION FRAMEWORK USING A GENERATIVE ADVERSARIAL NETWORK"
}
```</t>
  </si>
  <si>
    <t>```json
{
  "title": "EVALUATING THE EFFICACY OF RGB-D CAMERAS FOR SURVEILLANCE"
}
```</t>
  </si>
  <si>
    <t>```json
{
  "title": "Dual-Domain Generative Adversarial Network for Digital Image Operation Anti-forensics"
}
```</t>
  </si>
  <si>
    <t>```json
{
  "title": "FORENSICS VS. ANTI-FORENSICS: A DECISION AND GAME THEORETIC FRAMEWORK"
}
```</t>
  </si>
  <si>
    <t>```json
{
  "title": "Temporal Forensics and Anti-Forensics for Motion Compensated Video"
}
```</t>
  </si>
  <si>
    <t>```json
{
  "title": "A Conceptual Framework for Database Anti-forensics Impact Mitigation"
}
```</t>
  </si>
  <si>
    <t>```json
{
  "title": "Multiple-Operation Image Anti-Forensics with WGAN-GP Framework"
}
```</t>
  </si>
  <si>
    <t>```json
{
  "title": "A framework of generative adversarial networks with novel loss for JPEG restoration and anti-forensics"
}
```</t>
  </si>
  <si>
    <t>springer</t>
  </si>
  <si>
    <t>```json
{
  "title": "Generative Adversarial Attacks Against Deep-Learning-Based Camera Model Identification"
}
```</t>
  </si>
  <si>
    <t>```json
{
  "title": "A survey and research challenges of anti-forensics: Evaluation of game-theoretic models in simulation of forensic agents‚Äô behaviour"
}
```</t>
  </si>
  <si>
    <t>```json
{
  "title": "Game-Theoretic Decision Support for Cyber Forensic Investigations"
}
```</t>
  </si>
  <si>
    <t>```json
{
  "title": "Arriving at an anti-forensics consensus: Examining how to define and control the anti-forensics problem"
}
```</t>
  </si>
  <si>
    <t>```json
{
  "title": "Data fragment forensics for embedded DVR systems"
}
```</t>
  </si>
  <si>
    <t>```json
{
  "title": "Deleting collected digital evidence by exploiting a widely adopted hardware write blocker"
}
```</t>
  </si>
  <si>
    <t>```json
{
  "title": "Android forensics: Automated data collection and reporting from a mobile device"
}
```</t>
  </si>
  <si>
    <t>```json
{
  "title": "Anti-forensics: Furthering digital forensic science through a new extended, granular taxonomy"
}
```</t>
  </si>
  <si>
    <t>```json
{
  "title": "An improved median Ô¨Åltering anti-forensics with better image quality and forensic undetectability"
}
```</t>
  </si>
  <si>
    <t>```json
{
  "title": "Anti-forensics of JPEG Compression Using Generative Adversarial Networks"
}
```</t>
  </si>
  <si>
    <t>```json
{
  "title": "UnSafengine64: A Safengine Unpacker for 64-Bit Windows Environments and Detailed Analysis Results on Safengine 2.4.0"
}
```</t>
  </si>
  <si>
    <t>```json
{
  "title": "Implementation of the National Institute of Standards and Technology (NIST) Digital Evidence Framework in Forensic Processes on Social Media"
}
```</t>
  </si>
  <si>
    <t>```json
{
  "title": "On the Feasibility of Android Stegomalware: A Detection Study"
}
```</t>
  </si>
  <si>
    <t>```json
{
  "title": "Anti-Forensics with Steganographic File Embedding in Digital Image Using Genetic Algorithm"
}
```</t>
  </si>
  <si>
    <t>```json
{
  "title": "Detection of Suspicious Timestamps in NTFS using Volume Shadow Copies"
}
```</t>
  </si>
  <si>
    <t>```json
{
  "title": "A forensic analysis of streaming platforms on Android OS"
}
```</t>
  </si>
  <si>
    <t>```json
{
  "title": "Analysis of Autopsy Mobile Forensic Tools against Unsent Messages on WhatsApp Messaging Application"
}
```</t>
  </si>
  <si>
    <t>```json
{
  "title": "Steganography and Computer Forensics - the art of hiding information: a systematic review"
}
```</t>
  </si>
  <si>
    <t>```json
{
  "title": "A Review of Digital Video Tampering: From Simple Editing to Full Synthesis"
}
```</t>
  </si>
  <si>
    <t>```json
{
  "title": "Taxonomy for Anti-Forensics Techniques &amp; Countermeasures"
}
```</t>
  </si>
  <si>
    <t>```json
{
  "title": "Analysis of Steganographic on Digital Evidence using General Computer Forensic Investigation Model Framework"
}
```</t>
  </si>
  <si>
    <t>```json
{
  "title": "Data Sanitization Framework for Computer Hard Disk Drive: A Case Study in Malaysia"
}
```</t>
  </si>
  <si>
    <t>```json
{
  "title": "SafePaint: Anti-forensic Image Inpainting with Domain Adaptation"
}
```</t>
  </si>
  <si>
    <t>```json
{
  "title": "An Automated and Comprehensive Framework for IoT Botnet Detection and Analysis (IoT-BDA)"
}
```</t>
  </si>
  <si>
    <t>```json
{
  "title": "Identification of true speakers from disguised voices in anti-forensic scenarios using an efficient framework"
}
```</t>
  </si>
  <si>
    <t>```json
{
  "title": "Anti-forensics of fake stereo audio using generative adversarial network"
}
```</t>
  </si>
  <si>
    <t>```json
{
  "title": "A SMART Goal-based Framework for Privacy Preserving Embedded Forensic Investigations"
}
```</t>
  </si>
  <si>
    <t>```json
{
  "title": "A Framework for Detecting Anti-forensics in Cloud Environment"
}
```</t>
  </si>
  <si>
    <t>Cloud</t>
  </si>
  <si>
    <t>```json
{
  "title": "Anti-Forensics of Digital Image Compression"
}
```</t>
  </si>
  <si>
    <t>```json
{
  "title": "Counterfeiting and Defending the Digital Forensic Process"
}
```</t>
  </si>
  <si>
    <t>```json
{
  "title": "Anti-Forensics of Audio Source Identification Using Generative Adversarial Network"
}
```</t>
  </si>
  <si>
    <t>```json
{
  "title": "Digital Image Forensic Approach to Counter the JPEG Anti-Forensic Attacks"
}
```</t>
  </si>
  <si>
    <t>```json
{
  "title": "SYNTHESIZING BLACK-BOX ANTI-FORENSICS DEEPFAKES WITH HIGH VISUAL QUALITY"
}
```</t>
  </si>
  <si>
    <t>```json
{
  "title": "Exploring Firmware‚ÄëBased Anti‚Äëforensics in IoT Devices: Techniques and Implications"
}
```</t>
  </si>
  <si>
    <t>```json
{
  "title": "Making Generated Images Hard To Spot: A Transferable Attack On Synthetic Image Detectors"
}
```</t>
  </si>
  <si>
    <t>```json
{
  "title": "Making DeepFakes more spurious: evading deep face forgery detection via trace removal attack"
}
```</t>
  </si>
  <si>
    <t>```json
{
  "title": "Black-Box Attack against GAN-Generated Image Detector with Contrastive Perturbation"
}
```</t>
  </si>
  <si>
    <t>```json
{
  "title": "Attacking Image Splicing Detection and Localization Algorithms Using Synthetic Traces"
}
```</t>
  </si>
  <si>
    <t>```json
{
  "title": "Understanding digital image anti‚Äëforensics: an analytical review"
}
```</t>
  </si>
  <si>
    <t>```json
{
  "title": "A memory-based game-theoretic defensive approach for digital forensic investigators"
}
```</t>
  </si>
  <si>
    <t>```json
{
  "title": "Exploring Adversarial Fake Images on Face Manifold"
}
```</t>
  </si>
  <si>
    <t>```json
{
  "title": "Memory Forensics: Recovering Chat Messages and Encryption Master Key"
}
```</t>
  </si>
  <si>
    <t>memory</t>
  </si>
  <si>
    <t>```json
{
  "title": "Bibliography of digital image anti-forensics and anti-anti-forensics techniques"
}
```</t>
  </si>
  <si>
    <t>```json
{
  "title": "Camera Trace Erasing"
}
```</t>
  </si>
  <si>
    <t>```json
{
  "title": "Improving the Security of Visual Challenges"
}
```</t>
  </si>
  <si>
    <t>```json
{
  "title": "The Optimization Analysis for the Original and Manipulation Identification of Illegally Filmed Images"
}
```</t>
  </si>
  <si>
    <t>```json
{
  "title": "Forensic exploration on windows File History"
}
```</t>
  </si>
  <si>
    <t>```json
{
  "title": "When finding nothing may be evidence of something: Anti-forensic and digital tool marks"
}
```</t>
  </si>
  <si>
    <t>```json
{
  "title": "Can computer forensic tools be trusted in digital investigations?"
}
```</t>
  </si>
  <si>
    <t>```json
{
  "title": "DistLog: A Distributed Logging Scheme for IoT Forensics"
}
```</t>
  </si>
  <si>
    <t>```json
{
  "title": "An Android Case Study on Technical Anti-Forensic Challenges of WhatsApp Application"
}
```</t>
  </si>
  <si>
    <t>```json
{
  "title": "A game-theoretic defensive approach for forensic investigators against rootkits"
}
```</t>
  </si>
  <si>
    <t>```json
{
  "title": "An improved anti-forensic technique for JPEG compression"
}
```</t>
  </si>
  <si>
    <t>```json
{
  "title": "Memory Layout Extraction and Verification Method for Reliable Physical Memory Acquisition"
}
```</t>
  </si>
  <si>
    <t>```json
{
  "title": "Investigation of Countermeasures to Anti-Forensic Methods"
}
```</t>
  </si>
  <si>
    <t>```json
{
  "title": "Differentiating Synthetic and Optical Zooming for Passive Video Forgery Detection: An Anti-Forensic Perspective"
}
```</t>
  </si>
  <si>
    <t>```json
{
  "title": "Anti-forensic approach for JPEG compressed images with enhanced image quality and forensic undetectability"
}
```</t>
  </si>
  <si>
    <t>```json
{
  "title": "A robust JPEG compression detector for image forensics"
}
```</t>
  </si>
  <si>
    <t>```json
{
  "title": "Anti-forensics of Median Filtering and Contrast Enhancement"
}
```</t>
  </si>
  <si>
    <t>```json
{
  "title": "Forensics and Anti-Forensics of a NAND Flash Memory: From a Copy-Back Program Perspective"
}
```</t>
  </si>
  <si>
    <t>```json
{
  "title": "Unmanned Aerial Vehicle Kill Chain: Purple Teaming Tactics"
}
```</t>
  </si>
  <si>
    <t>```json
{
  "title": "Anti-Forensics for Face Swapping Videos via Adversarial Training"
}
```</t>
  </si>
  <si>
    <t>```json
{
  "title": "CGR-GAN: CG facial image regeneration for anti-forensics based on generative adversarial network"
}
```</t>
  </si>
  <si>
    <t>```json
{
  "title": "Drone Disrupted Denial of Service Attack (3DOS): Towards an Incident Response and Forensic Analysis of Remotely Piloted Aerial Systems (RPASs)"
}
```</t>
  </si>
  <si>
    <t>```json
{
  "title": "Towards Multi-Operation Image Anti-Forensics with Generative Adversarial Networks"
}
```</t>
  </si>
  <si>
    <t>```json
{
  "title": "De-Wipimization: Detection of data wiping traces for investigating NTFS file system"
}
```</t>
  </si>
  <si>
    <t>```json
{
  "title": "An approach to detect video frame deletion under anti‚Äëforensics"
}
```</t>
  </si>
  <si>
    <t>```json
{
  "title": "Perception matters: Exploring imperceptible and transferable anti-forensics for GAN-generated fake face imagery detection"
}
```</t>
  </si>
  <si>
    <t>```json
{
  "title": "Overview of Digital Forensics and Anti-Forensics Techniques"
}
```</t>
  </si>
  <si>
    <t>```json
{
  "title": "Forensic Analysis with Anti-Forensic Case Studies on Amazon Alexa and Google Assistant Build-In Smart Home Speakers"
}
```</t>
  </si>
  <si>
    <t>```json
{
  "title": "End-to-End Anti-Forensics Network of Single and Double JPEG Detection"
}
```</t>
  </si>
  <si>
    <t>```json
{
  "title": "Countering Anti-forensics of SIFT-based Copy-Move Detection"
}
```</t>
  </si>
  <si>
    <t>```json
{
  "title": "Digital tool marks (DTMs): a forensic analysis of file wiping software"
}
```</t>
  </si>
  <si>
    <t>```json
{
  "title": "Anti-Forensic Threat Modeling"
}
```</t>
  </si>
  <si>
    <t>```json
{
  "title": "Now You See Me: Hide and Seek in Physical Address Space"
}
```</t>
  </si>
  <si>
    <t>```json
{
  "title": "Comprehensive Expansion in Anti-Forensics Techniques (AFTs) Based Compressed Image"
}
```</t>
  </si>
  <si>
    <t>```json
{
  "title": "Android Mobile Forensic Analyzer for Stegno data"
}
```</t>
  </si>
  <si>
    <t>```json
{
  "title": "PHASE BASED DETECTION OF JPEG COUNTER FORENSICS"
}
```</t>
  </si>
  <si>
    <t>```json
{
  "title": "Novel Insider Threat Techniques: Automation and Generation of Ad Hoc Digital Evidence"
}
```</t>
  </si>
  <si>
    <t>```json
{
  "title": "Anti-forensics in ext4: On secrecy and usability of timestamp-based data hiding"
}
```</t>
  </si>
  <si>
    <t>```json
{
  "title": "Digital Forensic Analysis for Enhancing Information Security"
}
```</t>
  </si>
  <si>
    <t>```json
{
  "title": "Controlled experiments in digital evidence tampering"
}
```</t>
  </si>
  <si>
    <t>```json
{
  "title": "Anti-computer forensics"
}
```</t>
  </si>
  <si>
    <t>```json
{
  "title": "Anti-Forensics of JPEG Detectors via Adaptive Quantization Table Replacement"
}
```</t>
  </si>
  <si>
    <t>```json
{
  "title": "Analyzing Android Application in Real-time at Kernel Level"
}
```</t>
  </si>
  <si>
    <t>```json
{
  "title": "A JPEG Blocking Artifact Detector for Image Forensics"
}
```</t>
  </si>
  <si>
    <t>```json
{
  "title": "Digital Video Source Acquisition Forgery Technique Based on Pattern Sensor Noise Extraction"
}
```</t>
  </si>
  <si>
    <t>```json
{
  "title": "Digital Artifacts- Anti-Forensics Approach for Optimization of Digital Images"
}
```</t>
  </si>
  <si>
    <t>```json
{
  "title": "THE IMPACT OF TRIGGERS ON FORENSIC ACQUISITION AND ANALYSIS OF DATABASES"
}
```</t>
  </si>
  <si>
    <t>```json
{
  "title": "Attacking contrast enhancement forensics in digital images"
}
```</t>
  </si>
  <si>
    <t>```json
{
  "title": "AFAUC ‚Äì anti-forensics of storage devices by alternative use of communication channels"
}
```</t>
  </si>
  <si>
    <t>```json
{
  "title": "Mitigating Anti-forensics in the Cloud via Resource-Based Privacy Preserving Activity Attribution"
}
```</t>
  </si>
  <si>
    <t>```json
{
  "title": "Data Remanence and Digital Forensic Investigation for CUDA Graphics Processing Units"
}
```</t>
  </si>
  <si>
    <t>```json
{
  "title": "Performance Evaluation of Dither based Approach for Alleviation of Blocking Artifact in Image Compression"
}
```</t>
  </si>
  <si>
    <t>```json
{
  "title": "Detecting double JPEG compression and its related anti-forensic operations with CNN"
}
```</t>
  </si>
  <si>
    <t>```json
{
  "title": "A Non-Algorithmic Forensic Approach for Hiding Data in Image Files"
}
```</t>
  </si>
  <si>
    <t>```json
{
  "title": "Anti-forensics of double JPEG compression with the same quantization matrix"
}
```</t>
  </si>
  <si>
    <t>```json
{
  "title": "FROST ‚Äì Anti-Forensics Digital-Dead-DROp Information Hiding RobuST to Detection &amp; Data Loss with Fault tolerance"
}
```</t>
  </si>
  <si>
    <t>```json
{
  "title": "DETECTING ANTI-FORENSIC ATTACKS ON DEMOSAICING-BASED CAMERA MODEL IDENTIFICATION"
}
```</t>
  </si>
  <si>
    <t>```json
{
  "title": "Forensic artefacts associated with intentionally deleted user accounts"
}
```</t>
  </si>
  <si>
    <t>```json
{
  "title": "Deniable Encryption based on Standard RSA with OAEP"
}
```</t>
  </si>
  <si>
    <t>```json
{
  "title": "Anti-forensic steganography using multi-bit MER with flexible bit location"
}
```</t>
  </si>
  <si>
    <t>```json
{
  "title": "Countering Anti-Forensics of Lateral Chromatic Aberration"
}
```</t>
  </si>
  <si>
    <t>```json
{
  "title": "Analysis of VMware Virtual Machine in Forensics and Anti-Forensics Paradigm"
}
```</t>
  </si>
  <si>
    <t>```json
{
  "title": "Cryptographic key protection against FROST for mobile devices"
}
```</t>
  </si>
  <si>
    <t>```json
{
  "title": "Correlating CDR with other data sources Succeeding against Anti-Forensics"
}
```</t>
  </si>
  <si>
    <t>```json
{
  "title": "How to Decrypt PIN-Based Encrypted Backup Data of Samsung Smartphones"
}
```</t>
  </si>
  <si>
    <t>```json
{
  "title": "Video content authentication techniques: a comprehensive survey"
}
```</t>
  </si>
  <si>
    <t>```json
{
  "title": "Alleviation of Quantization Artifact using Anti-Forensic in Image Processing"
}
```</t>
  </si>
  <si>
    <t>```json
{
  "title": "Introducing Anti-Forensics to SQLite Corpora and Tool Testing"
}
```</t>
  </si>
  <si>
    <t>```json
{
  "title": "The Forensic Analysis of a False Digital Alibi"
}
```</t>
  </si>
  <si>
    <t>```json
{
  "title": "Determining removal of forensic artefacts using the USN change journal"
}
```</t>
  </si>
  <si>
    <t>```json
{
  "title": "Forensic identification of resampling operators: A semi non-intrusive approach"
}
```</t>
  </si>
  <si>
    <t>```json
{
  "title": "PROTECTION AGAINST REVERSE ENGINEERING IN DIGITAL CAMERAS"
}
```</t>
  </si>
  <si>
    <t>```json
{
  "title": "A Hierarchical Visibility theory for formal digital investigation of anti-forensic attacks"
}
```</t>
  </si>
  <si>
    <t>```json
{
  "title": "Novel Anti-forensics Approaches for Smart Phones"
}
```</t>
  </si>
  <si>
    <t>```json
{
  "title": "A Plausibly-Deniable, Practical Trusted Platform Module Based Anti-Forensics Client-Server System"
}
```</t>
  </si>
  <si>
    <t>```json
{
  "title": "CONCEALABILITY-RATE-DISTORTION TRADEOFF IN IMAGE COMPRESSION ANTI-FORENSICS"
}
```</t>
  </si>
  <si>
    <t>```json
{
  "title": "Android anti-forensics through a local paradigm"
}
```</t>
  </si>
  <si>
    <t>```json
{
  "title": "A System for Formal Digital Forensic Investigation Aware of Anti-Forensic Attacks"
}
```</t>
  </si>
  <si>
    <t>```json
{
  "title": "Anti-Forensics: The Next Step in Digital Forensics Tool Testing"
}
```</t>
  </si>
  <si>
    <t>```json
{
  "title": "A Novel Anti-Forensics Technique for the Android OS"
}
```</t>
  </si>
  <si>
    <t>```json
{
  "title": "Android Anti-forensics: Modifying CyanogenMod"
}
```</t>
  </si>
  <si>
    <t>```json
{
  "title": "WAVELET-BASED IMAGE COMPRESSION ANTI-FORENSICS"
}
```</t>
  </si>
  <si>
    <t>```json
{
  "title": "Android Malware Forensics: Reconstruction of Malicious Events"
}
```</t>
  </si>
  <si>
    <t>```json
{
  "title": "EXPOSING IMAGE FORGERY THROUGH THE DETECTION OF CONTRAST ENHANCEMENT"
}
```</t>
  </si>
  <si>
    <t>```json
{
  "title": "Forensic Analysis of Wickr Application on Android Devices"
}
```</t>
  </si>
  <si>
    <t>```json
{
  "title": "Anti-forensics with a small army of exploits"
}
```</t>
  </si>
  <si>
    <t>```json
{
  "title": "Digital Forensics: Latest Challenges and Response"
}
```</t>
  </si>
  <si>
    <t>```json
{
  "title": "MIXED-STRATEGY NASH EQUILIBRIUM IN THE CAMERA SOURCE IDENTIFICATION GAME"
}
```</t>
  </si>
  <si>
    <t>```json
{
  "title": "Forensic Artifacts Left By Virtual Disk Encryption Tools"
}
```</t>
  </si>
  <si>
    <t>```json
{
  "title": "UNDETECTABLE IMAGE TAMPERING THROUGH JPEG COMPRESSION ANTI-FORENSICS"
}
```</t>
  </si>
  <si>
    <t>```json
{
  "title": "Malware Forensics: Discovery of the Intent of Deception"
}
```</t>
  </si>
  <si>
    <t>malware</t>
  </si>
  <si>
    <t>```json
{
  "title": "A new anti-forensic tool based on a simple data encryption scheme"
}
```</t>
  </si>
  <si>
    <t>```json
{
  "title": "A New Technique for Removing Forensically Detectable Traces from Digital Images"
}
```</t>
  </si>
  <si>
    <t>```json
{
  "title": "The VAD tree: A process-eye view of physical memory"
}
```</t>
  </si>
  <si>
    <t>```json
{
  "title": "ANTI-FORENSICS FOR FRAME DELETION/ADDITION IN MPEG VIDEO"
}
```</t>
  </si>
  <si>
    <t>```json
{
  "title": "Teaching Digital Forensics Techniques Within Linux Environments"
}
```</t>
  </si>
  <si>
    <t>```json
{
  "title": "Automatic, Selective and Secure Deletion of Digital Evidence"
}
```</t>
  </si>
  <si>
    <t>```json
{
  "title": "A Modified Anti-Forensic Technique for Removing Detectable Traces from Digital Images"
}
```</t>
  </si>
  <si>
    <t>```json
{
  "title": "On the Construction of a False Digital Alibi on the Android OS"
}
```</t>
  </si>
  <si>
    <t>```json
{
  "title": "Defense Technology of Anti Forensic"
}
```</t>
  </si>
  <si>
    <t>```json
{
  "title": "Formal Digital Investigation of Anti-forensic Attacks"
}
```</t>
  </si>
  <si>
    <t>```json
{
  "title": "iOS anti-forensics: How can we securely conceal, delete and insert data?"
}
```</t>
  </si>
  <si>
    <t>```json
{
  "title": "Asynchronous Forensic Investigative Approach to Recover Deleted Data from Instant Messaging Applications"
}
```</t>
  </si>
  <si>
    <t>"{
  ""title"": ""Generating Higher-Quality Anti-Forensics DeepFakes with Adversarial Sharpening Mask""
}"</t>
  </si>
  <si>
    <t>{
  "title": "Densely Connected Convolutional Neural Network for Multi-purpose Image Forensics under Anti-forensic Attacks"
}</t>
  </si>
  <si>
    <t>{
  "title": "Improving JPEG Image Anti-forensics"
}</t>
  </si>
  <si>
    <t>"{
  ""title"": ""New Approach on Steganalysis: Reverse-Engineering based Steganography SW Analysis""
}"</t>
  </si>
  <si>
    <t>{
  "title": "JPEG Anti-forensics Using Non-parametric DCT Quantization Noise Estimation and Natural Image Statistics"
}</t>
  </si>
  <si>
    <t>"{
  ""title"": ""Anti-Forensics of Contrast Enhancement in Digital Images""
}"</t>
  </si>
  <si>
    <t>{
  "title": "Forensics and counter anti-forensics of video inter-frame forgery"
}</t>
  </si>
  <si>
    <t>Others</t>
  </si>
  <si>
    <t>Multimedia (image/video/audio)</t>
  </si>
  <si>
    <t>device_type</t>
  </si>
  <si>
    <t>non-mobile</t>
  </si>
  <si>
    <t>general</t>
  </si>
  <si>
    <t>cross-platform</t>
  </si>
  <si>
    <t>Survey  of  data  remaining  on  second  hand memory  cards  in  the  UK  ?</t>
  </si>
  <si>
    <t>paper_id</t>
  </si>
  <si>
    <t>N/A</t>
  </si>
  <si>
    <t>is_windows</t>
  </si>
  <si>
    <t>is_android</t>
  </si>
  <si>
    <t>is_linux</t>
  </si>
  <si>
    <t>is_ios</t>
  </si>
  <si>
    <t>is_macos</t>
  </si>
  <si>
    <t>is_cloud</t>
  </si>
  <si>
    <t>platforms</t>
  </si>
  <si>
    <t>Windows, macOS</t>
  </si>
  <si>
    <t>Android, iOS, Windows 10</t>
  </si>
  <si>
    <t>Android, iOS, Windows, Cloud</t>
  </si>
  <si>
    <t>Windows</t>
  </si>
  <si>
    <t>Windows, ubuntu</t>
  </si>
  <si>
    <t>Android</t>
  </si>
  <si>
    <t>Windows, Linux</t>
  </si>
  <si>
    <t>Android, iOS</t>
  </si>
  <si>
    <t>Windows, Linux, macOS</t>
  </si>
  <si>
    <t>linux</t>
  </si>
  <si>
    <t>Android, iOS, Windows, Linux, MacOs</t>
  </si>
  <si>
    <t>Android, Windows</t>
  </si>
  <si>
    <t>Windows, Linux, macOS, Android, iOS</t>
  </si>
  <si>
    <t>iOS</t>
  </si>
  <si>
    <t>sum_windows</t>
  </si>
  <si>
    <t>is_unspecified_platform</t>
  </si>
  <si>
    <t>category</t>
  </si>
  <si>
    <t>AW, TO</t>
  </si>
  <si>
    <t>TO, AW</t>
  </si>
  <si>
    <t>AW</t>
  </si>
  <si>
    <t>TO</t>
  </si>
  <si>
    <t>AT</t>
  </si>
  <si>
    <t>DH</t>
  </si>
  <si>
    <t>TO, AT, DH</t>
  </si>
  <si>
    <t>PIA, DH, TO</t>
  </si>
  <si>
    <t>AW, DH, TO</t>
  </si>
  <si>
    <t>AW, DH</t>
  </si>
  <si>
    <t>DH, AW, AT, TO</t>
  </si>
  <si>
    <t>AAF</t>
  </si>
  <si>
    <t>AAF, DH</t>
  </si>
  <si>
    <t>TO, AW, DH</t>
  </si>
  <si>
    <t>AT, PIA, TO, AW</t>
  </si>
  <si>
    <t>AT, DH</t>
  </si>
  <si>
    <t>PIA, AW, AT</t>
  </si>
  <si>
    <t>AW,TO</t>
  </si>
  <si>
    <t>TO, AAF</t>
  </si>
  <si>
    <t>DH, AW, PIA, TO</t>
  </si>
  <si>
    <t>PIA, AW, DH, TO</t>
  </si>
  <si>
    <t>TO, DH, AW</t>
  </si>
  <si>
    <t>AW, AT, PIA</t>
  </si>
  <si>
    <t>AT,AW,DH,TO, PIA</t>
  </si>
  <si>
    <t>DH,TO, AT</t>
  </si>
  <si>
    <t>AW, DH, AT,TO</t>
  </si>
  <si>
    <t>AT, AW, TO, PIA, DH</t>
  </si>
  <si>
    <t>DH, AW</t>
  </si>
  <si>
    <t>AW, TO, AT</t>
  </si>
  <si>
    <t>TO, DH</t>
  </si>
  <si>
    <t>AT, TO, DH, AW, PIA</t>
  </si>
  <si>
    <t>DH, AT</t>
  </si>
  <si>
    <t>AAF'</t>
  </si>
  <si>
    <t>PIA, DH</t>
  </si>
  <si>
    <t>TO, AT</t>
  </si>
  <si>
    <t>AT, DH,AW,TO</t>
  </si>
  <si>
    <t>AT, TO, AW</t>
  </si>
  <si>
    <t>DH, AW, TO</t>
  </si>
  <si>
    <t>AT, TO</t>
  </si>
  <si>
    <t>AW, AT, TO ,DH</t>
  </si>
  <si>
    <t>AT, PIA, TO</t>
  </si>
  <si>
    <t>DH, TO</t>
  </si>
  <si>
    <t>DH, AW, TO, AT, PIA</t>
  </si>
  <si>
    <t>TO, PIA</t>
  </si>
  <si>
    <t>AT, DH, TO</t>
  </si>
  <si>
    <t>AW, TO, PIA</t>
  </si>
  <si>
    <t>TO,AW,AT, PIA</t>
  </si>
  <si>
    <t>AW, TO, DH</t>
  </si>
  <si>
    <t>DH, AW, TO, PIA</t>
  </si>
  <si>
    <t>DH, PIA, AW</t>
  </si>
  <si>
    <t>DH, TO, AW</t>
  </si>
  <si>
    <t>TO, DH, PIA</t>
  </si>
  <si>
    <t>AT, DH, AW, TO</t>
  </si>
  <si>
    <t>AT, DH, TO, AW</t>
  </si>
  <si>
    <t>DH, AT, TO</t>
  </si>
  <si>
    <t>PIA, TO, AT</t>
  </si>
  <si>
    <t>TO, DH, AW, AT</t>
  </si>
  <si>
    <t>PIA, DH, AT</t>
  </si>
  <si>
    <t>AW, AT, DH</t>
  </si>
  <si>
    <t>TO, AW, PIA</t>
  </si>
  <si>
    <t>published_</t>
  </si>
  <si>
    <t xml:space="preserve">
   2023
</t>
  </si>
  <si>
    <t xml:space="preserve">
   2024
</t>
  </si>
  <si>
    <t xml:space="preserve">
   2005
</t>
  </si>
  <si>
    <t xml:space="preserve">
   2021
</t>
  </si>
  <si>
    <t xml:space="preserve">
   2022
</t>
  </si>
  <si>
    <t xml:space="preserve">
   2017
</t>
  </si>
  <si>
    <t xml:space="preserve">
   2025
</t>
  </si>
  <si>
    <t xml:space="preserve">
   2010
</t>
  </si>
  <si>
    <t xml:space="preserve">
   2012
</t>
  </si>
  <si>
    <t xml:space="preserve">
   2013
</t>
  </si>
  <si>
    <t xml:space="preserve">
   2018
</t>
  </si>
  <si>
    <t xml:space="preserve">
   2020
</t>
  </si>
  <si>
    <t xml:space="preserve">
   2019
</t>
  </si>
  <si>
    <t xml:space="preserve">
   2006
</t>
  </si>
  <si>
    <t xml:space="preserve">
   2014
</t>
  </si>
  <si>
    <t xml:space="preserve">
   2016
</t>
  </si>
  <si>
    <t xml:space="preserve">
   2011
</t>
  </si>
  <si>
    <t xml:space="preserve">
   2015
</t>
  </si>
  <si>
    <t xml:space="preserve">
   2007
</t>
  </si>
  <si>
    <t xml:space="preserve">
   2008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</si>
</sst>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1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E394FA-8B14-EE4C-BB66-D55F8E1A9C5A}" name="Table2" displayName="Table2" ref="A1:N200" totalsRowShown="0" dataDxfId="12">
  <autoFilter ref="A1:N200" xr:uid="{65E394FA-8B14-EE4C-BB66-D55F8E1A9C5A}"/>
  <tableColumns count="14">
    <tableColumn id="1" xr3:uid="{AEE0422A-13B8-DB49-B6C3-1D13ECCCF916}" name="paper_id">
      <calculatedColumnFormula>TEXT(ROW()-1,"000")</calculatedColumnFormula>
    </tableColumn>
    <tableColumn id="2" xr3:uid="{3198941B-94BE-8B47-98BD-856A9722753E}" name="title" dataDxfId="11"/>
    <tableColumn id="3" xr3:uid="{E5281E36-70F2-A348-82B3-29A33F91AD52}" name="domain" dataDxfId="10"/>
    <tableColumn id="4" xr3:uid="{D74C07C0-9F27-264D-A1B7-71A46421535F}" name="Ai-based"/>
    <tableColumn id="5" xr3:uid="{ABCD6D14-1CD8-2B44-AF7F-0B5D34857575}" name="publishers" dataDxfId="9"/>
    <tableColumn id="6" xr3:uid="{C6575B3B-3B64-344C-A155-87C8D4C94F15}" name="device_type" dataDxfId="8"/>
    <tableColumn id="7" xr3:uid="{76FDF2E8-FED8-F646-A914-C594AB3250A5}" name="platforms" dataDxfId="7"/>
    <tableColumn id="8" xr3:uid="{E34F9610-C720-EF48-A10B-8D9457520789}" name="is_windows" dataDxfId="6">
      <calculatedColumnFormula>--ISNUMBER(SEARCH("Windows",Table2[[#This Row],[platforms]]))</calculatedColumnFormula>
    </tableColumn>
    <tableColumn id="9" xr3:uid="{064373A9-0A77-F04B-BFD0-D5B7642D7A34}" name="is_android" dataDxfId="5">
      <calculatedColumnFormula>--ISNUMBER(SEARCH("Android",Table2[[#This Row],[platforms]]))</calculatedColumnFormula>
    </tableColumn>
    <tableColumn id="10" xr3:uid="{97300E5A-F92C-1242-9453-5F2FE8413011}" name="is_linux" dataDxfId="4">
      <calculatedColumnFormula>--ISNUMBER(SEARCH("Linux",Table2[[#This Row],[platforms]]))</calculatedColumnFormula>
    </tableColumn>
    <tableColumn id="11" xr3:uid="{0DE4EC7A-C10E-B041-842C-F095250017EC}" name="is_ios" dataDxfId="3">
      <calculatedColumnFormula>--ISNUMBER(SEARCH("iOS",Table2[[#This Row],[platforms]]))</calculatedColumnFormula>
    </tableColumn>
    <tableColumn id="12" xr3:uid="{B1A3BCD7-6EA5-F04A-8576-962FC7BDF066}" name="is_macos" dataDxfId="2">
      <calculatedColumnFormula>--ISNUMBER(SEARCH("macOS",Table2[[#This Row],[platforms]]))</calculatedColumnFormula>
    </tableColumn>
    <tableColumn id="13" xr3:uid="{44DD7766-9120-7448-9C7C-D2B11CF78A98}" name="is_cloud" dataDxfId="1">
      <calculatedColumnFormula>--ISNUMBER(SEARCH("Cloud",Table2[[#This Row],[platforms]]))</calculatedColumnFormula>
    </tableColumn>
    <tableColumn id="14" xr3:uid="{7DE4C849-F8C3-1746-B475-29ADCC9C0CFC}" name="is_unspecified_platform" dataDxfId="0">
      <calculatedColumnFormula>IF(Table2[[#This Row],[platforms]]="","",--OR(Table2[[#This Row],[platforms]]="N/A",ISNUMBER(SEARCH("not specified",LOWER(Table2[[#This Row],[platforms]]))),ISNUMBER(SEARCH("unspecified",LOWER(Table2[[#This Row],[platforms]])))))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3EAD-1A54-B043-A2C3-C6F124A2E88B}">
  <dimension ref="A1:I198"/>
  <sheetViews>
    <sheetView tabSelected="1" zoomScale="91" workbookViewId="0">
      <selection activeCell="B1" sqref="B1:I1"/>
    </sheetView>
  </sheetViews>
  <sheetFormatPr baseColWidth="10" defaultColWidth="11" defaultRowHeight="16" x14ac:dyDescent="0.2"/>
  <cols>
    <col min="2" max="2" width="18.5" customWidth="1"/>
    <col min="3" max="3" width="10.83203125"/>
    <col min="7" max="7" width="24.1640625" customWidth="1"/>
    <col min="8" max="8" width="32.5" customWidth="1"/>
    <col min="9" max="9" width="22.1640625" customWidth="1"/>
  </cols>
  <sheetData>
    <row r="1" spans="1:9" x14ac:dyDescent="0.2">
      <c r="A1" t="s">
        <v>220</v>
      </c>
      <c r="B1" t="s">
        <v>0</v>
      </c>
      <c r="C1" t="s">
        <v>306</v>
      </c>
      <c r="D1" t="s">
        <v>1</v>
      </c>
      <c r="E1" t="s">
        <v>2</v>
      </c>
      <c r="F1" t="s">
        <v>3</v>
      </c>
      <c r="G1" t="s">
        <v>215</v>
      </c>
      <c r="H1" t="s">
        <v>228</v>
      </c>
      <c r="I1" t="s">
        <v>245</v>
      </c>
    </row>
    <row r="2" spans="1:9" ht="170" x14ac:dyDescent="0.2">
      <c r="A2" t="str">
        <f>TEXT(ROW()-1,"000")</f>
        <v>001</v>
      </c>
      <c r="B2" s="1" t="s">
        <v>4</v>
      </c>
      <c r="C2" s="1" t="s">
        <v>307</v>
      </c>
      <c r="D2" s="1" t="s">
        <v>5</v>
      </c>
      <c r="F2" s="2" t="s">
        <v>6</v>
      </c>
      <c r="G2" s="1" t="s">
        <v>216</v>
      </c>
      <c r="H2" t="s">
        <v>229</v>
      </c>
      <c r="I2" t="s">
        <v>246</v>
      </c>
    </row>
    <row r="3" spans="1:9" ht="153" x14ac:dyDescent="0.2">
      <c r="A3" t="str">
        <f>TEXT(ROW()-1,"000")</f>
        <v>002</v>
      </c>
      <c r="B3" s="1" t="s">
        <v>7</v>
      </c>
      <c r="C3" s="1" t="s">
        <v>307</v>
      </c>
      <c r="D3" t="s">
        <v>8</v>
      </c>
      <c r="F3" s="2" t="s">
        <v>6</v>
      </c>
      <c r="G3" s="1" t="s">
        <v>217</v>
      </c>
      <c r="H3" t="s">
        <v>221</v>
      </c>
      <c r="I3" t="s">
        <v>221</v>
      </c>
    </row>
    <row r="4" spans="1:9" ht="204" x14ac:dyDescent="0.2">
      <c r="A4" t="str">
        <f t="shared" ref="A4:A67" si="0">TEXT(ROW()-1,"000")</f>
        <v>003</v>
      </c>
      <c r="B4" s="1" t="s">
        <v>9</v>
      </c>
      <c r="C4" s="1" t="s">
        <v>307</v>
      </c>
      <c r="D4" s="1" t="s">
        <v>10</v>
      </c>
      <c r="F4" s="2" t="s">
        <v>6</v>
      </c>
      <c r="G4" s="1" t="s">
        <v>218</v>
      </c>
      <c r="H4" t="s">
        <v>230</v>
      </c>
      <c r="I4" t="s">
        <v>246</v>
      </c>
    </row>
    <row r="5" spans="1:9" ht="170" x14ac:dyDescent="0.2">
      <c r="A5" t="str">
        <f t="shared" si="0"/>
        <v>004</v>
      </c>
      <c r="B5" s="1" t="s">
        <v>11</v>
      </c>
      <c r="C5" s="1" t="s">
        <v>307</v>
      </c>
      <c r="D5" s="1" t="s">
        <v>5</v>
      </c>
      <c r="F5" s="2" t="s">
        <v>6</v>
      </c>
      <c r="G5" s="1" t="s">
        <v>216</v>
      </c>
      <c r="H5" s="1" t="s">
        <v>229</v>
      </c>
      <c r="I5" s="1" t="s">
        <v>247</v>
      </c>
    </row>
    <row r="6" spans="1:9" ht="153" x14ac:dyDescent="0.2">
      <c r="A6" t="str">
        <f t="shared" si="0"/>
        <v>005</v>
      </c>
      <c r="B6" s="1" t="s">
        <v>12</v>
      </c>
      <c r="C6" s="1" t="s">
        <v>307</v>
      </c>
      <c r="D6" s="1" t="s">
        <v>5</v>
      </c>
      <c r="F6" s="2" t="s">
        <v>6</v>
      </c>
      <c r="G6" s="1" t="s">
        <v>216</v>
      </c>
      <c r="H6" s="2" t="s">
        <v>229</v>
      </c>
      <c r="I6" t="s">
        <v>221</v>
      </c>
    </row>
    <row r="7" spans="1:9" ht="204" x14ac:dyDescent="0.2">
      <c r="A7" t="str">
        <f t="shared" si="0"/>
        <v>006</v>
      </c>
      <c r="B7" s="1" t="s">
        <v>13</v>
      </c>
      <c r="C7" s="1" t="s">
        <v>308</v>
      </c>
      <c r="D7" s="1" t="s">
        <v>10</v>
      </c>
      <c r="F7" s="2" t="s">
        <v>6</v>
      </c>
      <c r="G7" s="1" t="s">
        <v>218</v>
      </c>
      <c r="H7" t="s">
        <v>231</v>
      </c>
      <c r="I7" t="s">
        <v>248</v>
      </c>
    </row>
    <row r="8" spans="1:9" ht="119" x14ac:dyDescent="0.2">
      <c r="A8" t="str">
        <f t="shared" si="0"/>
        <v>007</v>
      </c>
      <c r="B8" s="1" t="s">
        <v>14</v>
      </c>
      <c r="C8" s="1" t="s">
        <v>309</v>
      </c>
      <c r="D8" s="1" t="s">
        <v>5</v>
      </c>
      <c r="F8" s="2" t="s">
        <v>6</v>
      </c>
      <c r="G8" s="1" t="s">
        <v>216</v>
      </c>
      <c r="H8" s="1" t="s">
        <v>232</v>
      </c>
      <c r="I8" s="1" t="s">
        <v>249</v>
      </c>
    </row>
    <row r="9" spans="1:9" ht="136" x14ac:dyDescent="0.2">
      <c r="A9" t="str">
        <f t="shared" si="0"/>
        <v>008</v>
      </c>
      <c r="B9" s="1" t="s">
        <v>15</v>
      </c>
      <c r="C9" s="1" t="s">
        <v>310</v>
      </c>
      <c r="D9" s="1" t="s">
        <v>5</v>
      </c>
      <c r="F9" t="s">
        <v>16</v>
      </c>
      <c r="G9" s="1" t="s">
        <v>216</v>
      </c>
      <c r="H9" s="2" t="s">
        <v>232</v>
      </c>
      <c r="I9" t="s">
        <v>247</v>
      </c>
    </row>
    <row r="10" spans="1:9" ht="153" x14ac:dyDescent="0.2">
      <c r="A10" t="str">
        <f t="shared" si="0"/>
        <v>009</v>
      </c>
      <c r="B10" s="1" t="s">
        <v>17</v>
      </c>
      <c r="C10" s="1" t="s">
        <v>311</v>
      </c>
      <c r="D10" s="1" t="s">
        <v>5</v>
      </c>
      <c r="F10" t="s">
        <v>16</v>
      </c>
      <c r="G10" s="1" t="s">
        <v>216</v>
      </c>
      <c r="H10" s="2" t="s">
        <v>232</v>
      </c>
      <c r="I10" t="s">
        <v>249</v>
      </c>
    </row>
    <row r="11" spans="1:9" ht="153" x14ac:dyDescent="0.2">
      <c r="A11" t="str">
        <f t="shared" si="0"/>
        <v>010</v>
      </c>
      <c r="B11" s="1" t="s">
        <v>18</v>
      </c>
      <c r="C11" s="1" t="s">
        <v>311</v>
      </c>
      <c r="D11" s="1" t="s">
        <v>31</v>
      </c>
      <c r="F11" t="s">
        <v>16</v>
      </c>
      <c r="G11" s="1" t="s">
        <v>216</v>
      </c>
      <c r="H11" t="s">
        <v>233</v>
      </c>
      <c r="I11" t="s">
        <v>250</v>
      </c>
    </row>
    <row r="12" spans="1:9" ht="119" x14ac:dyDescent="0.2">
      <c r="A12" t="str">
        <f t="shared" si="0"/>
        <v>011</v>
      </c>
      <c r="B12" s="1" t="s">
        <v>19</v>
      </c>
      <c r="C12" s="1" t="s">
        <v>308</v>
      </c>
      <c r="D12" s="1" t="s">
        <v>20</v>
      </c>
      <c r="F12" t="s">
        <v>16</v>
      </c>
      <c r="G12" s="1" t="s">
        <v>217</v>
      </c>
      <c r="H12" s="1" t="s">
        <v>221</v>
      </c>
      <c r="I12" s="1" t="s">
        <v>248</v>
      </c>
    </row>
    <row r="13" spans="1:9" ht="238" x14ac:dyDescent="0.2">
      <c r="A13" t="str">
        <f t="shared" si="0"/>
        <v>012</v>
      </c>
      <c r="B13" s="1" t="s">
        <v>21</v>
      </c>
      <c r="C13" s="1" t="s">
        <v>308</v>
      </c>
      <c r="D13" s="1" t="s">
        <v>214</v>
      </c>
      <c r="F13" t="s">
        <v>16</v>
      </c>
      <c r="G13" s="1" t="s">
        <v>217</v>
      </c>
      <c r="H13" s="1" t="s">
        <v>221</v>
      </c>
      <c r="I13" s="1" t="s">
        <v>248</v>
      </c>
    </row>
    <row r="14" spans="1:9" ht="119" x14ac:dyDescent="0.2">
      <c r="A14" t="str">
        <f t="shared" si="0"/>
        <v>013</v>
      </c>
      <c r="B14" s="1" t="s">
        <v>22</v>
      </c>
      <c r="C14" s="1" t="s">
        <v>312</v>
      </c>
      <c r="D14" s="1" t="s">
        <v>8</v>
      </c>
      <c r="F14" t="s">
        <v>23</v>
      </c>
      <c r="G14" s="1" t="s">
        <v>217</v>
      </c>
      <c r="H14" s="1" t="s">
        <v>221</v>
      </c>
      <c r="I14" s="1" t="s">
        <v>251</v>
      </c>
    </row>
    <row r="15" spans="1:9" ht="153" x14ac:dyDescent="0.2">
      <c r="A15" t="str">
        <f t="shared" si="0"/>
        <v>014</v>
      </c>
      <c r="B15" s="1" t="s">
        <v>24</v>
      </c>
      <c r="C15" s="1" t="s">
        <v>313</v>
      </c>
      <c r="D15" s="1" t="s">
        <v>10</v>
      </c>
      <c r="F15" t="s">
        <v>23</v>
      </c>
      <c r="G15" s="1" t="s">
        <v>10</v>
      </c>
      <c r="H15" s="1" t="s">
        <v>234</v>
      </c>
      <c r="I15" s="1" t="s">
        <v>252</v>
      </c>
    </row>
    <row r="16" spans="1:9" ht="153" x14ac:dyDescent="0.2">
      <c r="A16" t="str">
        <f t="shared" si="0"/>
        <v>015</v>
      </c>
      <c r="B16" s="1" t="s">
        <v>25</v>
      </c>
      <c r="C16" s="1" t="s">
        <v>307</v>
      </c>
      <c r="D16" s="1" t="s">
        <v>26</v>
      </c>
      <c r="F16" s="2" t="s">
        <v>23</v>
      </c>
      <c r="G16" s="1" t="s">
        <v>217</v>
      </c>
      <c r="H16" s="1" t="s">
        <v>221</v>
      </c>
      <c r="I16" s="1" t="s">
        <v>253</v>
      </c>
    </row>
    <row r="17" spans="1:9" ht="153" x14ac:dyDescent="0.2">
      <c r="A17" t="str">
        <f t="shared" si="0"/>
        <v>016</v>
      </c>
      <c r="B17" s="1" t="s">
        <v>27</v>
      </c>
      <c r="C17" s="1" t="s">
        <v>314</v>
      </c>
      <c r="D17" s="1" t="s">
        <v>5</v>
      </c>
      <c r="F17" t="s">
        <v>213</v>
      </c>
      <c r="G17" s="1" t="s">
        <v>216</v>
      </c>
      <c r="H17" s="1" t="s">
        <v>232</v>
      </c>
      <c r="I17" s="1" t="s">
        <v>249</v>
      </c>
    </row>
    <row r="18" spans="1:9" ht="170" x14ac:dyDescent="0.2">
      <c r="A18" t="str">
        <f t="shared" si="0"/>
        <v>017</v>
      </c>
      <c r="B18" s="1" t="s">
        <v>28</v>
      </c>
      <c r="C18" s="1" t="s">
        <v>311</v>
      </c>
      <c r="D18" s="1" t="s">
        <v>10</v>
      </c>
      <c r="E18" t="s">
        <v>29</v>
      </c>
      <c r="F18" s="2" t="s">
        <v>23</v>
      </c>
      <c r="G18" s="1" t="s">
        <v>10</v>
      </c>
      <c r="H18" s="1" t="s">
        <v>234</v>
      </c>
      <c r="I18" s="1" t="s">
        <v>248</v>
      </c>
    </row>
    <row r="19" spans="1:9" ht="187" x14ac:dyDescent="0.2">
      <c r="A19" t="str">
        <f t="shared" si="0"/>
        <v>018</v>
      </c>
      <c r="B19" s="1" t="s">
        <v>30</v>
      </c>
      <c r="C19" s="1" t="s">
        <v>307</v>
      </c>
      <c r="D19" s="1" t="s">
        <v>31</v>
      </c>
      <c r="F19" t="s">
        <v>23</v>
      </c>
      <c r="G19" s="1" t="s">
        <v>217</v>
      </c>
      <c r="H19" s="1" t="s">
        <v>235</v>
      </c>
      <c r="I19" s="1" t="s">
        <v>254</v>
      </c>
    </row>
    <row r="20" spans="1:9" ht="187" x14ac:dyDescent="0.2">
      <c r="A20" t="str">
        <f t="shared" si="0"/>
        <v>019</v>
      </c>
      <c r="B20" s="1" t="s">
        <v>32</v>
      </c>
      <c r="C20" s="1" t="s">
        <v>308</v>
      </c>
      <c r="D20" s="1" t="s">
        <v>8</v>
      </c>
      <c r="E20" t="s">
        <v>8</v>
      </c>
      <c r="F20" s="2" t="s">
        <v>23</v>
      </c>
      <c r="G20" s="1" t="s">
        <v>217</v>
      </c>
      <c r="H20" s="1" t="s">
        <v>221</v>
      </c>
      <c r="I20" s="1" t="s">
        <v>255</v>
      </c>
    </row>
    <row r="21" spans="1:9" ht="136" x14ac:dyDescent="0.2">
      <c r="A21" t="str">
        <f t="shared" si="0"/>
        <v>020</v>
      </c>
      <c r="B21" s="1" t="s">
        <v>33</v>
      </c>
      <c r="C21" s="1" t="s">
        <v>311</v>
      </c>
      <c r="D21" s="1" t="s">
        <v>214</v>
      </c>
      <c r="E21" s="1" t="s">
        <v>29</v>
      </c>
      <c r="F21" s="2" t="s">
        <v>23</v>
      </c>
      <c r="G21" s="1" t="s">
        <v>217</v>
      </c>
      <c r="H21" s="1" t="s">
        <v>221</v>
      </c>
      <c r="I21" s="1" t="s">
        <v>256</v>
      </c>
    </row>
    <row r="22" spans="1:9" ht="204" x14ac:dyDescent="0.2">
      <c r="A22" t="str">
        <f t="shared" si="0"/>
        <v>021</v>
      </c>
      <c r="B22" s="1" t="s">
        <v>34</v>
      </c>
      <c r="C22" s="1" t="s">
        <v>311</v>
      </c>
      <c r="D22" s="1" t="s">
        <v>214</v>
      </c>
      <c r="E22" s="1" t="s">
        <v>29</v>
      </c>
      <c r="F22" s="2" t="s">
        <v>23</v>
      </c>
      <c r="G22" s="1" t="s">
        <v>217</v>
      </c>
      <c r="H22" s="1" t="s">
        <v>221</v>
      </c>
      <c r="I22" s="1" t="s">
        <v>257</v>
      </c>
    </row>
    <row r="23" spans="1:9" ht="204" x14ac:dyDescent="0.2">
      <c r="A23" t="str">
        <f t="shared" si="0"/>
        <v>022</v>
      </c>
      <c r="B23" s="1" t="s">
        <v>35</v>
      </c>
      <c r="C23" s="1" t="s">
        <v>307</v>
      </c>
      <c r="D23" s="1" t="s">
        <v>10</v>
      </c>
      <c r="E23" s="1"/>
      <c r="F23" s="2" t="s">
        <v>23</v>
      </c>
      <c r="G23" s="1" t="s">
        <v>218</v>
      </c>
      <c r="H23" s="1" t="s">
        <v>236</v>
      </c>
      <c r="I23" s="1" t="s">
        <v>258</v>
      </c>
    </row>
    <row r="24" spans="1:9" ht="119" x14ac:dyDescent="0.2">
      <c r="A24" t="str">
        <f t="shared" si="0"/>
        <v>023</v>
      </c>
      <c r="B24" s="1" t="s">
        <v>36</v>
      </c>
      <c r="C24" s="1" t="s">
        <v>310</v>
      </c>
      <c r="D24" s="1" t="s">
        <v>5</v>
      </c>
      <c r="F24" s="2" t="s">
        <v>23</v>
      </c>
      <c r="G24" s="1" t="s">
        <v>216</v>
      </c>
      <c r="H24" s="1" t="s">
        <v>232</v>
      </c>
      <c r="I24" s="1" t="s">
        <v>248</v>
      </c>
    </row>
    <row r="25" spans="1:9" ht="153" x14ac:dyDescent="0.2">
      <c r="A25" t="str">
        <f t="shared" si="0"/>
        <v>024</v>
      </c>
      <c r="B25" s="1" t="s">
        <v>37</v>
      </c>
      <c r="C25" s="1" t="s">
        <v>307</v>
      </c>
      <c r="D25" s="1" t="s">
        <v>10</v>
      </c>
      <c r="F25" s="2" t="s">
        <v>23</v>
      </c>
      <c r="G25" s="1" t="s">
        <v>10</v>
      </c>
      <c r="H25" s="1" t="s">
        <v>234</v>
      </c>
      <c r="I25" s="1" t="s">
        <v>246</v>
      </c>
    </row>
    <row r="26" spans="1:9" ht="119" x14ac:dyDescent="0.2">
      <c r="A26" t="str">
        <f t="shared" si="0"/>
        <v>025</v>
      </c>
      <c r="B26" s="1" t="s">
        <v>38</v>
      </c>
      <c r="C26" s="1" t="s">
        <v>315</v>
      </c>
      <c r="D26" s="1" t="s">
        <v>214</v>
      </c>
      <c r="F26" s="2" t="s">
        <v>23</v>
      </c>
      <c r="G26" s="1" t="s">
        <v>217</v>
      </c>
      <c r="H26" t="s">
        <v>221</v>
      </c>
      <c r="I26" s="1" t="s">
        <v>259</v>
      </c>
    </row>
    <row r="27" spans="1:9" ht="153" x14ac:dyDescent="0.2">
      <c r="A27" t="str">
        <f t="shared" si="0"/>
        <v>026</v>
      </c>
      <c r="B27" s="1" t="s">
        <v>39</v>
      </c>
      <c r="C27" s="1" t="s">
        <v>308</v>
      </c>
      <c r="D27" s="1" t="s">
        <v>5</v>
      </c>
      <c r="F27" s="2" t="s">
        <v>23</v>
      </c>
      <c r="G27" s="1" t="s">
        <v>216</v>
      </c>
      <c r="H27" t="s">
        <v>237</v>
      </c>
      <c r="I27" s="1" t="s">
        <v>251</v>
      </c>
    </row>
    <row r="28" spans="1:9" ht="153" x14ac:dyDescent="0.2">
      <c r="A28" t="str">
        <f t="shared" si="0"/>
        <v>027</v>
      </c>
      <c r="B28" s="1" t="s">
        <v>40</v>
      </c>
      <c r="C28" s="1" t="s">
        <v>311</v>
      </c>
      <c r="D28" s="1" t="s">
        <v>214</v>
      </c>
      <c r="E28" s="1" t="s">
        <v>29</v>
      </c>
      <c r="F28" s="2" t="s">
        <v>23</v>
      </c>
      <c r="G28" s="1" t="s">
        <v>217</v>
      </c>
      <c r="I28" s="1" t="s">
        <v>249</v>
      </c>
    </row>
    <row r="29" spans="1:9" ht="153" x14ac:dyDescent="0.2">
      <c r="A29" t="str">
        <f t="shared" si="0"/>
        <v>028</v>
      </c>
      <c r="B29" s="1" t="s">
        <v>41</v>
      </c>
      <c r="C29" s="1" t="s">
        <v>307</v>
      </c>
      <c r="D29" s="1" t="s">
        <v>214</v>
      </c>
      <c r="E29" s="1" t="s">
        <v>29</v>
      </c>
      <c r="F29" s="2" t="s">
        <v>23</v>
      </c>
      <c r="G29" s="1" t="s">
        <v>217</v>
      </c>
      <c r="H29" s="1" t="s">
        <v>221</v>
      </c>
      <c r="I29" s="1" t="s">
        <v>249</v>
      </c>
    </row>
    <row r="30" spans="1:9" ht="153" x14ac:dyDescent="0.2">
      <c r="A30" t="str">
        <f t="shared" si="0"/>
        <v>029</v>
      </c>
      <c r="B30" s="1" t="s">
        <v>42</v>
      </c>
      <c r="C30" s="1" t="s">
        <v>311</v>
      </c>
      <c r="D30" s="1" t="s">
        <v>10</v>
      </c>
      <c r="F30" s="2" t="s">
        <v>23</v>
      </c>
      <c r="G30" s="1" t="s">
        <v>10</v>
      </c>
      <c r="H30" s="1" t="s">
        <v>234</v>
      </c>
      <c r="I30" s="1" t="s">
        <v>248</v>
      </c>
    </row>
    <row r="31" spans="1:9" ht="187" x14ac:dyDescent="0.2">
      <c r="A31" t="str">
        <f t="shared" si="0"/>
        <v>030</v>
      </c>
      <c r="B31" s="1" t="s">
        <v>43</v>
      </c>
      <c r="C31" s="1" t="s">
        <v>308</v>
      </c>
      <c r="D31" s="1" t="s">
        <v>5</v>
      </c>
      <c r="F31" s="2" t="s">
        <v>23</v>
      </c>
      <c r="G31" s="1" t="s">
        <v>216</v>
      </c>
      <c r="H31" s="1" t="s">
        <v>238</v>
      </c>
      <c r="I31" s="1" t="s">
        <v>260</v>
      </c>
    </row>
    <row r="32" spans="1:9" ht="187" x14ac:dyDescent="0.2">
      <c r="A32" t="str">
        <f t="shared" si="0"/>
        <v>031</v>
      </c>
      <c r="B32" s="1" t="s">
        <v>44</v>
      </c>
      <c r="C32" s="1" t="s">
        <v>310</v>
      </c>
      <c r="D32" s="1" t="s">
        <v>214</v>
      </c>
      <c r="E32" s="1" t="s">
        <v>29</v>
      </c>
      <c r="F32" s="2" t="s">
        <v>23</v>
      </c>
      <c r="G32" s="1" t="s">
        <v>217</v>
      </c>
      <c r="H32" s="1" t="s">
        <v>221</v>
      </c>
      <c r="I32" s="1" t="s">
        <v>249</v>
      </c>
    </row>
    <row r="33" spans="1:9" ht="119" x14ac:dyDescent="0.2">
      <c r="A33" t="str">
        <f t="shared" si="0"/>
        <v>032</v>
      </c>
      <c r="B33" s="1" t="s">
        <v>45</v>
      </c>
      <c r="C33" s="1" t="s">
        <v>316</v>
      </c>
      <c r="D33" s="1" t="s">
        <v>8</v>
      </c>
      <c r="F33" s="2" t="s">
        <v>23</v>
      </c>
      <c r="G33" s="1" t="s">
        <v>216</v>
      </c>
      <c r="H33" s="1" t="s">
        <v>232</v>
      </c>
      <c r="I33" s="1" t="s">
        <v>261</v>
      </c>
    </row>
    <row r="34" spans="1:9" ht="170" x14ac:dyDescent="0.2">
      <c r="A34" t="str">
        <f t="shared" si="0"/>
        <v>033</v>
      </c>
      <c r="B34" s="1" t="s">
        <v>46</v>
      </c>
      <c r="C34" s="1" t="s">
        <v>314</v>
      </c>
      <c r="D34" s="1" t="s">
        <v>8</v>
      </c>
      <c r="F34" t="s">
        <v>213</v>
      </c>
      <c r="G34" s="1" t="s">
        <v>217</v>
      </c>
      <c r="H34" s="1" t="s">
        <v>221</v>
      </c>
      <c r="I34" s="1" t="s">
        <v>261</v>
      </c>
    </row>
    <row r="35" spans="1:9" ht="153" x14ac:dyDescent="0.2">
      <c r="A35" t="str">
        <f t="shared" si="0"/>
        <v>034</v>
      </c>
      <c r="B35" s="1" t="s">
        <v>47</v>
      </c>
      <c r="C35" s="1" t="s">
        <v>308</v>
      </c>
      <c r="D35" s="1" t="s">
        <v>214</v>
      </c>
      <c r="F35" s="2" t="s">
        <v>23</v>
      </c>
      <c r="G35" s="1" t="s">
        <v>217</v>
      </c>
      <c r="H35" s="1" t="s">
        <v>238</v>
      </c>
      <c r="I35" s="1" t="s">
        <v>249</v>
      </c>
    </row>
    <row r="36" spans="1:9" ht="153" x14ac:dyDescent="0.2">
      <c r="A36" t="str">
        <f t="shared" si="0"/>
        <v>035</v>
      </c>
      <c r="B36" s="1" t="s">
        <v>48</v>
      </c>
      <c r="C36" s="1" t="s">
        <v>307</v>
      </c>
      <c r="D36" s="1" t="s">
        <v>5</v>
      </c>
      <c r="F36" s="2" t="s">
        <v>23</v>
      </c>
      <c r="G36" s="1" t="s">
        <v>216</v>
      </c>
      <c r="H36" s="1" t="s">
        <v>238</v>
      </c>
      <c r="I36" s="1" t="s">
        <v>262</v>
      </c>
    </row>
    <row r="37" spans="1:9" ht="204" x14ac:dyDescent="0.2">
      <c r="A37" t="str">
        <f t="shared" si="0"/>
        <v>036</v>
      </c>
      <c r="B37" s="1" t="s">
        <v>49</v>
      </c>
      <c r="C37" s="1" t="s">
        <v>317</v>
      </c>
      <c r="D37" s="1" t="s">
        <v>214</v>
      </c>
      <c r="E37" s="1" t="s">
        <v>29</v>
      </c>
      <c r="F37" s="2" t="s">
        <v>23</v>
      </c>
      <c r="G37" s="1" t="s">
        <v>217</v>
      </c>
      <c r="H37" s="1" t="s">
        <v>221</v>
      </c>
      <c r="I37" s="1" t="s">
        <v>263</v>
      </c>
    </row>
    <row r="38" spans="1:9" ht="136" x14ac:dyDescent="0.2">
      <c r="A38" t="str">
        <f t="shared" si="0"/>
        <v>037</v>
      </c>
      <c r="B38" s="1" t="s">
        <v>50</v>
      </c>
      <c r="C38" s="1" t="s">
        <v>316</v>
      </c>
      <c r="D38" s="1" t="s">
        <v>214</v>
      </c>
      <c r="F38" s="2" t="s">
        <v>23</v>
      </c>
      <c r="G38" s="1" t="s">
        <v>217</v>
      </c>
      <c r="H38" s="1" t="s">
        <v>221</v>
      </c>
      <c r="I38" s="1" t="s">
        <v>264</v>
      </c>
    </row>
    <row r="39" spans="1:9" ht="170" x14ac:dyDescent="0.2">
      <c r="A39" t="str">
        <f t="shared" si="0"/>
        <v>038</v>
      </c>
      <c r="B39" s="1" t="s">
        <v>51</v>
      </c>
      <c r="C39" s="1" t="s">
        <v>310</v>
      </c>
      <c r="D39" s="1" t="s">
        <v>214</v>
      </c>
      <c r="E39" s="1" t="s">
        <v>29</v>
      </c>
      <c r="F39" s="2" t="s">
        <v>23</v>
      </c>
      <c r="G39" s="1" t="s">
        <v>217</v>
      </c>
      <c r="H39" s="1" t="s">
        <v>221</v>
      </c>
      <c r="I39" s="1" t="s">
        <v>249</v>
      </c>
    </row>
    <row r="40" spans="1:9" ht="170" x14ac:dyDescent="0.2">
      <c r="A40" t="str">
        <f t="shared" si="0"/>
        <v>039</v>
      </c>
      <c r="B40" s="1" t="s">
        <v>52</v>
      </c>
      <c r="C40" s="1" t="s">
        <v>315</v>
      </c>
      <c r="D40" s="1" t="s">
        <v>214</v>
      </c>
      <c r="F40" s="2" t="s">
        <v>23</v>
      </c>
      <c r="G40" s="1" t="s">
        <v>217</v>
      </c>
      <c r="H40" s="1" t="s">
        <v>221</v>
      </c>
      <c r="I40" s="1" t="s">
        <v>249</v>
      </c>
    </row>
    <row r="41" spans="1:9" ht="136" x14ac:dyDescent="0.2">
      <c r="A41" t="str">
        <f t="shared" si="0"/>
        <v>040</v>
      </c>
      <c r="B41" s="1" t="s">
        <v>53</v>
      </c>
      <c r="C41" s="1" t="s">
        <v>315</v>
      </c>
      <c r="D41" s="1" t="s">
        <v>214</v>
      </c>
      <c r="F41" s="2" t="s">
        <v>23</v>
      </c>
      <c r="G41" s="1" t="s">
        <v>217</v>
      </c>
      <c r="H41" s="1" t="s">
        <v>221</v>
      </c>
      <c r="I41" s="1" t="s">
        <v>249</v>
      </c>
    </row>
    <row r="42" spans="1:9" ht="170" x14ac:dyDescent="0.2">
      <c r="A42" t="str">
        <f t="shared" si="0"/>
        <v>041</v>
      </c>
      <c r="B42" s="1" t="s">
        <v>54</v>
      </c>
      <c r="C42" s="1" t="s">
        <v>318</v>
      </c>
      <c r="D42" s="1" t="s">
        <v>20</v>
      </c>
      <c r="F42" s="2" t="s">
        <v>23</v>
      </c>
      <c r="G42" s="1" t="s">
        <v>217</v>
      </c>
      <c r="H42" s="1" t="s">
        <v>221</v>
      </c>
      <c r="I42" s="1" t="s">
        <v>265</v>
      </c>
    </row>
    <row r="43" spans="1:9" ht="153" x14ac:dyDescent="0.2">
      <c r="A43" t="str">
        <f t="shared" si="0"/>
        <v>042</v>
      </c>
      <c r="B43" s="1" t="s">
        <v>55</v>
      </c>
      <c r="C43" s="1" t="s">
        <v>319</v>
      </c>
      <c r="D43" s="1" t="s">
        <v>214</v>
      </c>
      <c r="E43" s="1" t="s">
        <v>29</v>
      </c>
      <c r="F43" s="2" t="s">
        <v>23</v>
      </c>
      <c r="G43" s="1" t="s">
        <v>217</v>
      </c>
      <c r="H43" s="1" t="s">
        <v>221</v>
      </c>
      <c r="I43" s="1" t="s">
        <v>249</v>
      </c>
    </row>
    <row r="44" spans="1:9" ht="170" x14ac:dyDescent="0.2">
      <c r="A44" t="str">
        <f t="shared" si="0"/>
        <v>043</v>
      </c>
      <c r="B44" s="1" t="s">
        <v>56</v>
      </c>
      <c r="C44" s="1" t="s">
        <v>310</v>
      </c>
      <c r="D44" s="1" t="s">
        <v>214</v>
      </c>
      <c r="E44" s="1" t="s">
        <v>29</v>
      </c>
      <c r="F44" s="2" t="s">
        <v>57</v>
      </c>
      <c r="G44" s="1" t="s">
        <v>217</v>
      </c>
      <c r="H44" s="1" t="s">
        <v>221</v>
      </c>
      <c r="I44" s="1" t="s">
        <v>249</v>
      </c>
    </row>
    <row r="45" spans="1:9" ht="170" x14ac:dyDescent="0.2">
      <c r="A45" t="str">
        <f t="shared" si="0"/>
        <v>044</v>
      </c>
      <c r="B45" s="1" t="s">
        <v>58</v>
      </c>
      <c r="C45" s="1" t="s">
        <v>319</v>
      </c>
      <c r="D45" s="1" t="s">
        <v>214</v>
      </c>
      <c r="E45" s="1" t="s">
        <v>29</v>
      </c>
      <c r="F45" s="2" t="s">
        <v>23</v>
      </c>
      <c r="G45" s="1" t="s">
        <v>217</v>
      </c>
      <c r="H45" s="1" t="s">
        <v>221</v>
      </c>
      <c r="I45" s="1" t="s">
        <v>257</v>
      </c>
    </row>
    <row r="46" spans="1:9" ht="187" x14ac:dyDescent="0.2">
      <c r="A46" t="str">
        <f t="shared" si="0"/>
        <v>045</v>
      </c>
      <c r="B46" s="1" t="s">
        <v>59</v>
      </c>
      <c r="C46" s="1" t="s">
        <v>318</v>
      </c>
      <c r="D46" s="1" t="s">
        <v>214</v>
      </c>
      <c r="F46" s="2" t="s">
        <v>6</v>
      </c>
      <c r="G46" s="1" t="s">
        <v>217</v>
      </c>
      <c r="H46" s="1" t="s">
        <v>221</v>
      </c>
      <c r="I46" s="1" t="s">
        <v>254</v>
      </c>
    </row>
    <row r="47" spans="1:9" ht="153" x14ac:dyDescent="0.2">
      <c r="A47" t="str">
        <f t="shared" si="0"/>
        <v>046</v>
      </c>
      <c r="B47" s="1" t="s">
        <v>60</v>
      </c>
      <c r="C47" s="1" t="s">
        <v>310</v>
      </c>
      <c r="D47" s="1" t="s">
        <v>8</v>
      </c>
      <c r="F47" t="s">
        <v>213</v>
      </c>
      <c r="G47" s="1" t="s">
        <v>217</v>
      </c>
      <c r="H47" s="1" t="s">
        <v>221</v>
      </c>
      <c r="I47" s="1" t="s">
        <v>266</v>
      </c>
    </row>
    <row r="48" spans="1:9" ht="187" x14ac:dyDescent="0.2">
      <c r="A48" t="str">
        <f t="shared" si="0"/>
        <v>047</v>
      </c>
      <c r="B48" s="1" t="s">
        <v>61</v>
      </c>
      <c r="C48" s="1" t="s">
        <v>320</v>
      </c>
      <c r="D48" s="1" t="s">
        <v>8</v>
      </c>
      <c r="F48" s="2" t="s">
        <v>6</v>
      </c>
      <c r="G48" s="1" t="s">
        <v>217</v>
      </c>
      <c r="H48" s="1" t="s">
        <v>221</v>
      </c>
      <c r="I48" s="1" t="s">
        <v>267</v>
      </c>
    </row>
    <row r="49" spans="1:9" ht="136" x14ac:dyDescent="0.2">
      <c r="A49" t="str">
        <f t="shared" si="0"/>
        <v>048</v>
      </c>
      <c r="B49" s="1" t="s">
        <v>62</v>
      </c>
      <c r="C49" s="1" t="s">
        <v>321</v>
      </c>
      <c r="D49" s="1" t="s">
        <v>214</v>
      </c>
      <c r="F49" s="2" t="s">
        <v>6</v>
      </c>
      <c r="G49" s="1" t="s">
        <v>10</v>
      </c>
      <c r="H49" s="1" t="s">
        <v>221</v>
      </c>
      <c r="I49" s="1" t="s">
        <v>221</v>
      </c>
    </row>
    <row r="50" spans="1:9" ht="170" x14ac:dyDescent="0.2">
      <c r="A50" t="str">
        <f t="shared" si="0"/>
        <v>049</v>
      </c>
      <c r="B50" s="1" t="s">
        <v>63</v>
      </c>
      <c r="C50" s="1" t="s">
        <v>322</v>
      </c>
      <c r="D50" s="1" t="s">
        <v>5</v>
      </c>
      <c r="F50" s="2" t="s">
        <v>6</v>
      </c>
      <c r="G50" s="1" t="s">
        <v>216</v>
      </c>
      <c r="H50" s="1" t="s">
        <v>235</v>
      </c>
      <c r="I50" s="1" t="s">
        <v>268</v>
      </c>
    </row>
    <row r="51" spans="1:9" ht="153" x14ac:dyDescent="0.2">
      <c r="A51" t="str">
        <f t="shared" si="0"/>
        <v>050</v>
      </c>
      <c r="B51" s="1" t="s">
        <v>64</v>
      </c>
      <c r="C51" s="1" t="s">
        <v>316</v>
      </c>
      <c r="D51" s="1" t="s">
        <v>10</v>
      </c>
      <c r="F51" s="2" t="s">
        <v>6</v>
      </c>
      <c r="G51" s="1" t="s">
        <v>10</v>
      </c>
      <c r="H51" s="1" t="s">
        <v>234</v>
      </c>
      <c r="I51" s="1" t="s">
        <v>221</v>
      </c>
    </row>
    <row r="52" spans="1:9" ht="170" x14ac:dyDescent="0.2">
      <c r="A52" t="str">
        <f t="shared" si="0"/>
        <v>051</v>
      </c>
      <c r="B52" s="1" t="s">
        <v>65</v>
      </c>
      <c r="C52" s="1" t="s">
        <v>322</v>
      </c>
      <c r="D52" s="1" t="s">
        <v>8</v>
      </c>
      <c r="F52" s="2" t="s">
        <v>6</v>
      </c>
      <c r="G52" s="1" t="s">
        <v>218</v>
      </c>
      <c r="H52" s="1" t="s">
        <v>239</v>
      </c>
      <c r="I52" s="1" t="s">
        <v>269</v>
      </c>
    </row>
    <row r="53" spans="1:9" ht="170" x14ac:dyDescent="0.2">
      <c r="A53" t="str">
        <f t="shared" si="0"/>
        <v>052</v>
      </c>
      <c r="B53" s="1" t="s">
        <v>66</v>
      </c>
      <c r="C53" s="1" t="s">
        <v>319</v>
      </c>
      <c r="D53" s="1" t="s">
        <v>214</v>
      </c>
      <c r="F53" s="2" t="s">
        <v>57</v>
      </c>
      <c r="G53" s="1" t="s">
        <v>217</v>
      </c>
      <c r="H53" s="1" t="s">
        <v>221</v>
      </c>
      <c r="I53" s="1" t="s">
        <v>249</v>
      </c>
    </row>
    <row r="54" spans="1:9" ht="170" x14ac:dyDescent="0.2">
      <c r="A54" t="str">
        <f t="shared" si="0"/>
        <v>053</v>
      </c>
      <c r="B54" s="1" t="s">
        <v>67</v>
      </c>
      <c r="C54" s="1" t="s">
        <v>317</v>
      </c>
      <c r="D54" s="1" t="s">
        <v>214</v>
      </c>
      <c r="E54" s="1" t="s">
        <v>29</v>
      </c>
      <c r="F54" s="2" t="s">
        <v>23</v>
      </c>
      <c r="G54" s="1" t="s">
        <v>217</v>
      </c>
      <c r="H54" s="1" t="s">
        <v>221</v>
      </c>
      <c r="I54" s="1" t="s">
        <v>249</v>
      </c>
    </row>
    <row r="55" spans="1:9" ht="204" x14ac:dyDescent="0.2">
      <c r="A55" t="str">
        <f t="shared" si="0"/>
        <v>054</v>
      </c>
      <c r="B55" s="1" t="s">
        <v>68</v>
      </c>
      <c r="C55" s="1" t="s">
        <v>308</v>
      </c>
      <c r="D55" s="1" t="s">
        <v>5</v>
      </c>
      <c r="F55" s="2" t="s">
        <v>23</v>
      </c>
      <c r="G55" s="1" t="s">
        <v>216</v>
      </c>
      <c r="H55" s="1" t="s">
        <v>232</v>
      </c>
      <c r="I55" s="1" t="s">
        <v>250</v>
      </c>
    </row>
    <row r="56" spans="1:9" ht="221" x14ac:dyDescent="0.2">
      <c r="A56" t="str">
        <f t="shared" si="0"/>
        <v>055</v>
      </c>
      <c r="B56" s="1" t="s">
        <v>69</v>
      </c>
      <c r="C56" s="1" t="s">
        <v>307</v>
      </c>
      <c r="D56" s="1" t="s">
        <v>10</v>
      </c>
      <c r="F56" s="2" t="s">
        <v>6</v>
      </c>
      <c r="G56" s="1" t="s">
        <v>10</v>
      </c>
      <c r="H56" s="1" t="s">
        <v>234</v>
      </c>
      <c r="I56" s="1" t="s">
        <v>221</v>
      </c>
    </row>
    <row r="57" spans="1:9" ht="136" x14ac:dyDescent="0.2">
      <c r="A57" t="str">
        <f t="shared" si="0"/>
        <v>056</v>
      </c>
      <c r="B57" s="1" t="s">
        <v>70</v>
      </c>
      <c r="C57" s="1" t="s">
        <v>313</v>
      </c>
      <c r="D57" s="1" t="s">
        <v>10</v>
      </c>
      <c r="F57" t="s">
        <v>213</v>
      </c>
      <c r="G57" s="1" t="s">
        <v>10</v>
      </c>
      <c r="H57" s="1" t="s">
        <v>234</v>
      </c>
      <c r="I57" s="1" t="s">
        <v>270</v>
      </c>
    </row>
    <row r="58" spans="1:9" ht="170" x14ac:dyDescent="0.2">
      <c r="A58" t="str">
        <f t="shared" si="0"/>
        <v>057</v>
      </c>
      <c r="B58" s="1" t="s">
        <v>71</v>
      </c>
      <c r="C58" s="1" t="s">
        <v>311</v>
      </c>
      <c r="D58" s="1" t="s">
        <v>214</v>
      </c>
      <c r="E58" t="s">
        <v>29</v>
      </c>
      <c r="F58" t="s">
        <v>213</v>
      </c>
      <c r="G58" s="1" t="s">
        <v>217</v>
      </c>
      <c r="H58" s="1" t="s">
        <v>221</v>
      </c>
      <c r="I58" s="1" t="s">
        <v>251</v>
      </c>
    </row>
    <row r="59" spans="1:9" ht="153" x14ac:dyDescent="0.2">
      <c r="A59" t="str">
        <f t="shared" si="0"/>
        <v>058</v>
      </c>
      <c r="B59" s="1" t="s">
        <v>72</v>
      </c>
      <c r="C59" s="1" t="s">
        <v>310</v>
      </c>
      <c r="D59" s="1" t="s">
        <v>5</v>
      </c>
      <c r="F59" t="s">
        <v>213</v>
      </c>
      <c r="G59" s="1" t="s">
        <v>216</v>
      </c>
      <c r="H59" s="1" t="s">
        <v>235</v>
      </c>
      <c r="I59" s="1" t="s">
        <v>249</v>
      </c>
    </row>
    <row r="60" spans="1:9" ht="136" x14ac:dyDescent="0.2">
      <c r="A60" t="str">
        <f t="shared" si="0"/>
        <v>059</v>
      </c>
      <c r="B60" s="1" t="s">
        <v>73</v>
      </c>
      <c r="C60" s="1" t="s">
        <v>307</v>
      </c>
      <c r="D60" s="1" t="s">
        <v>10</v>
      </c>
      <c r="F60" s="2" t="s">
        <v>6</v>
      </c>
      <c r="G60" s="1" t="s">
        <v>10</v>
      </c>
      <c r="H60" s="1" t="s">
        <v>234</v>
      </c>
      <c r="I60" s="1" t="s">
        <v>248</v>
      </c>
    </row>
    <row r="61" spans="1:9" ht="187" x14ac:dyDescent="0.2">
      <c r="A61" t="str">
        <f t="shared" si="0"/>
        <v>060</v>
      </c>
      <c r="B61" s="1" t="s">
        <v>74</v>
      </c>
      <c r="C61" s="1" t="s">
        <v>318</v>
      </c>
      <c r="D61" s="1" t="s">
        <v>10</v>
      </c>
      <c r="E61" s="1"/>
      <c r="F61" s="1" t="s">
        <v>23</v>
      </c>
      <c r="G61" s="1" t="s">
        <v>10</v>
      </c>
      <c r="H61" s="1" t="s">
        <v>234</v>
      </c>
      <c r="I61" s="1" t="s">
        <v>221</v>
      </c>
    </row>
    <row r="62" spans="1:9" ht="170" x14ac:dyDescent="0.2">
      <c r="A62" t="str">
        <f t="shared" si="0"/>
        <v>061</v>
      </c>
      <c r="B62" s="1" t="s">
        <v>75</v>
      </c>
      <c r="C62" s="1" t="s">
        <v>311</v>
      </c>
      <c r="D62" s="1" t="s">
        <v>214</v>
      </c>
      <c r="E62" s="1"/>
      <c r="F62" t="s">
        <v>213</v>
      </c>
      <c r="G62" s="1" t="s">
        <v>217</v>
      </c>
      <c r="H62" s="1" t="s">
        <v>221</v>
      </c>
      <c r="I62" s="1" t="s">
        <v>251</v>
      </c>
    </row>
    <row r="63" spans="1:9" ht="153" x14ac:dyDescent="0.2">
      <c r="A63" t="str">
        <f t="shared" si="0"/>
        <v>062</v>
      </c>
      <c r="B63" s="1" t="s">
        <v>76</v>
      </c>
      <c r="C63" s="1" t="s">
        <v>319</v>
      </c>
      <c r="D63" s="1" t="s">
        <v>214</v>
      </c>
      <c r="E63" s="1"/>
      <c r="F63" s="2" t="s">
        <v>6</v>
      </c>
      <c r="G63" s="1" t="s">
        <v>217</v>
      </c>
      <c r="H63" s="1" t="s">
        <v>221</v>
      </c>
      <c r="I63" s="1" t="s">
        <v>221</v>
      </c>
    </row>
    <row r="64" spans="1:9" ht="136" x14ac:dyDescent="0.2">
      <c r="A64" t="str">
        <f t="shared" si="0"/>
        <v>063</v>
      </c>
      <c r="B64" s="1" t="s">
        <v>77</v>
      </c>
      <c r="C64" s="1" t="s">
        <v>318</v>
      </c>
      <c r="D64" s="1" t="s">
        <v>8</v>
      </c>
      <c r="F64" t="s">
        <v>213</v>
      </c>
      <c r="G64" s="1" t="s">
        <v>217</v>
      </c>
      <c r="H64" s="1" t="s">
        <v>221</v>
      </c>
      <c r="I64" s="1" t="s">
        <v>271</v>
      </c>
    </row>
    <row r="65" spans="1:9" ht="187" x14ac:dyDescent="0.2">
      <c r="A65" t="str">
        <f t="shared" si="0"/>
        <v>064</v>
      </c>
      <c r="B65" s="1" t="s">
        <v>78</v>
      </c>
      <c r="C65" s="1" t="s">
        <v>318</v>
      </c>
      <c r="D65" s="1" t="s">
        <v>5</v>
      </c>
      <c r="E65" s="1"/>
      <c r="F65" t="s">
        <v>213</v>
      </c>
      <c r="G65" s="1" t="s">
        <v>216</v>
      </c>
      <c r="H65" s="1" t="s">
        <v>232</v>
      </c>
      <c r="I65" s="1" t="s">
        <v>251</v>
      </c>
    </row>
    <row r="66" spans="1:9" ht="170" x14ac:dyDescent="0.2">
      <c r="A66" t="str">
        <f t="shared" si="0"/>
        <v>065</v>
      </c>
      <c r="B66" s="1" t="s">
        <v>79</v>
      </c>
      <c r="C66" s="1" t="s">
        <v>319</v>
      </c>
      <c r="D66" s="1" t="s">
        <v>5</v>
      </c>
      <c r="F66" t="s">
        <v>213</v>
      </c>
      <c r="G66" s="1" t="s">
        <v>216</v>
      </c>
      <c r="H66" s="1" t="s">
        <v>232</v>
      </c>
      <c r="I66" s="1" t="s">
        <v>248</v>
      </c>
    </row>
    <row r="67" spans="1:9" ht="136" x14ac:dyDescent="0.2">
      <c r="A67" t="str">
        <f t="shared" si="0"/>
        <v>066</v>
      </c>
      <c r="B67" s="1" t="s">
        <v>80</v>
      </c>
      <c r="C67" s="1" t="s">
        <v>308</v>
      </c>
      <c r="D67" s="1" t="s">
        <v>214</v>
      </c>
      <c r="E67" t="s">
        <v>29</v>
      </c>
      <c r="F67" t="s">
        <v>16</v>
      </c>
      <c r="G67" s="1" t="s">
        <v>217</v>
      </c>
      <c r="H67" s="1" t="s">
        <v>221</v>
      </c>
      <c r="I67" s="1" t="s">
        <v>257</v>
      </c>
    </row>
    <row r="68" spans="1:9" ht="187" x14ac:dyDescent="0.2">
      <c r="A68" t="str">
        <f t="shared" ref="A68:A131" si="1">TEXT(ROW()-1,"000")</f>
        <v>067</v>
      </c>
      <c r="B68" s="1" t="s">
        <v>81</v>
      </c>
      <c r="C68" s="1" t="s">
        <v>310</v>
      </c>
      <c r="D68" s="1" t="s">
        <v>31</v>
      </c>
      <c r="F68" t="s">
        <v>23</v>
      </c>
      <c r="G68" s="1" t="s">
        <v>216</v>
      </c>
      <c r="H68" s="1" t="s">
        <v>238</v>
      </c>
      <c r="I68" s="1" t="s">
        <v>272</v>
      </c>
    </row>
    <row r="69" spans="1:9" ht="187" x14ac:dyDescent="0.2">
      <c r="A69" t="str">
        <f t="shared" si="1"/>
        <v>068</v>
      </c>
      <c r="B69" s="1" t="s">
        <v>82</v>
      </c>
      <c r="C69" s="1" t="s">
        <v>308</v>
      </c>
      <c r="D69" s="1" t="s">
        <v>214</v>
      </c>
      <c r="F69" t="s">
        <v>57</v>
      </c>
      <c r="G69" s="1" t="s">
        <v>217</v>
      </c>
      <c r="H69" s="1" t="s">
        <v>221</v>
      </c>
      <c r="I69" s="1" t="s">
        <v>249</v>
      </c>
    </row>
    <row r="70" spans="1:9" ht="153" x14ac:dyDescent="0.2">
      <c r="A70" t="str">
        <f t="shared" si="1"/>
        <v>069</v>
      </c>
      <c r="B70" s="1" t="s">
        <v>83</v>
      </c>
      <c r="C70" s="1" t="s">
        <v>311</v>
      </c>
      <c r="D70" s="1" t="s">
        <v>214</v>
      </c>
      <c r="F70" t="s">
        <v>57</v>
      </c>
      <c r="G70" s="1" t="s">
        <v>217</v>
      </c>
      <c r="H70" s="1" t="s">
        <v>221</v>
      </c>
      <c r="I70" s="1" t="s">
        <v>257</v>
      </c>
    </row>
    <row r="71" spans="1:9" ht="170" x14ac:dyDescent="0.2">
      <c r="A71" t="str">
        <f t="shared" si="1"/>
        <v>070</v>
      </c>
      <c r="B71" s="1" t="s">
        <v>84</v>
      </c>
      <c r="C71" s="1" t="s">
        <v>319</v>
      </c>
      <c r="D71" s="1" t="s">
        <v>31</v>
      </c>
      <c r="E71" s="1"/>
      <c r="F71" s="1" t="s">
        <v>23</v>
      </c>
      <c r="G71" s="1" t="s">
        <v>217</v>
      </c>
      <c r="H71" s="1" t="s">
        <v>221</v>
      </c>
      <c r="I71" s="1" t="s">
        <v>273</v>
      </c>
    </row>
    <row r="72" spans="1:9" ht="136" x14ac:dyDescent="0.2">
      <c r="A72" t="str">
        <f t="shared" si="1"/>
        <v>071</v>
      </c>
      <c r="B72" s="1" t="s">
        <v>85</v>
      </c>
      <c r="C72" s="1" t="s">
        <v>322</v>
      </c>
      <c r="D72" s="1" t="s">
        <v>86</v>
      </c>
      <c r="F72" t="s">
        <v>23</v>
      </c>
      <c r="G72" s="1" t="s">
        <v>217</v>
      </c>
      <c r="H72" s="1" t="s">
        <v>221</v>
      </c>
      <c r="I72" s="1" t="s">
        <v>274</v>
      </c>
    </row>
    <row r="73" spans="1:9" ht="119" x14ac:dyDescent="0.2">
      <c r="A73" t="str">
        <f t="shared" si="1"/>
        <v>072</v>
      </c>
      <c r="B73" s="1" t="s">
        <v>87</v>
      </c>
      <c r="C73" s="1" t="s">
        <v>323</v>
      </c>
      <c r="D73" s="1" t="s">
        <v>214</v>
      </c>
      <c r="F73" t="s">
        <v>23</v>
      </c>
      <c r="G73" s="1" t="s">
        <v>217</v>
      </c>
      <c r="H73" s="1" t="s">
        <v>221</v>
      </c>
      <c r="I73" s="1" t="s">
        <v>275</v>
      </c>
    </row>
    <row r="74" spans="1:9" ht="136" x14ac:dyDescent="0.2">
      <c r="A74" t="str">
        <f t="shared" si="1"/>
        <v>073</v>
      </c>
      <c r="B74" s="1" t="s">
        <v>88</v>
      </c>
      <c r="C74" s="1" t="s">
        <v>324</v>
      </c>
      <c r="D74" s="1" t="s">
        <v>8</v>
      </c>
      <c r="F74" t="s">
        <v>23</v>
      </c>
      <c r="G74" s="1" t="s">
        <v>217</v>
      </c>
      <c r="H74" s="1" t="s">
        <v>221</v>
      </c>
      <c r="I74" s="1" t="s">
        <v>276</v>
      </c>
    </row>
    <row r="75" spans="1:9" ht="153" x14ac:dyDescent="0.2">
      <c r="A75" t="str">
        <f t="shared" si="1"/>
        <v>074</v>
      </c>
      <c r="B75" s="1" t="s">
        <v>89</v>
      </c>
      <c r="C75" s="1" t="s">
        <v>319</v>
      </c>
      <c r="D75" s="1" t="s">
        <v>214</v>
      </c>
      <c r="F75" t="s">
        <v>23</v>
      </c>
      <c r="G75" s="1" t="s">
        <v>217</v>
      </c>
      <c r="H75" s="1" t="s">
        <v>221</v>
      </c>
      <c r="I75" s="1" t="s">
        <v>249</v>
      </c>
    </row>
    <row r="76" spans="1:9" ht="153" x14ac:dyDescent="0.2">
      <c r="A76" t="str">
        <f t="shared" si="1"/>
        <v>075</v>
      </c>
      <c r="B76" s="1" t="s">
        <v>90</v>
      </c>
      <c r="C76" s="1" t="s">
        <v>310</v>
      </c>
      <c r="D76" s="1" t="s">
        <v>214</v>
      </c>
      <c r="F76" t="s">
        <v>23</v>
      </c>
      <c r="G76" s="1" t="s">
        <v>217</v>
      </c>
      <c r="H76" s="1" t="s">
        <v>221</v>
      </c>
      <c r="I76" s="1" t="s">
        <v>249</v>
      </c>
    </row>
    <row r="77" spans="1:9" ht="187" x14ac:dyDescent="0.2">
      <c r="A77" t="str">
        <f t="shared" si="1"/>
        <v>076</v>
      </c>
      <c r="B77" s="1" t="s">
        <v>91</v>
      </c>
      <c r="C77" s="1" t="s">
        <v>308</v>
      </c>
      <c r="D77" s="1" t="s">
        <v>214</v>
      </c>
      <c r="F77" t="s">
        <v>23</v>
      </c>
      <c r="G77" s="1" t="s">
        <v>217</v>
      </c>
      <c r="H77" s="1" t="s">
        <v>221</v>
      </c>
      <c r="I77" s="1" t="s">
        <v>257</v>
      </c>
    </row>
    <row r="78" spans="1:9" ht="170" x14ac:dyDescent="0.2">
      <c r="A78" t="str">
        <f t="shared" si="1"/>
        <v>077</v>
      </c>
      <c r="B78" s="1" t="s">
        <v>92</v>
      </c>
      <c r="C78" s="1" t="s">
        <v>308</v>
      </c>
      <c r="D78" s="1" t="s">
        <v>31</v>
      </c>
      <c r="F78" t="s">
        <v>57</v>
      </c>
      <c r="G78" s="1" t="s">
        <v>216</v>
      </c>
      <c r="H78" s="1" t="s">
        <v>238</v>
      </c>
      <c r="I78" s="1" t="s">
        <v>277</v>
      </c>
    </row>
    <row r="79" spans="1:9" ht="170" x14ac:dyDescent="0.2">
      <c r="A79" t="str">
        <f t="shared" si="1"/>
        <v>078</v>
      </c>
      <c r="B79" s="1" t="s">
        <v>93</v>
      </c>
      <c r="C79" s="1" t="s">
        <v>311</v>
      </c>
      <c r="D79" s="1" t="s">
        <v>214</v>
      </c>
      <c r="E79" t="s">
        <v>29</v>
      </c>
      <c r="F79" t="s">
        <v>57</v>
      </c>
      <c r="G79" s="1" t="s">
        <v>217</v>
      </c>
      <c r="H79" s="1" t="s">
        <v>221</v>
      </c>
      <c r="I79" s="1" t="s">
        <v>257</v>
      </c>
    </row>
    <row r="80" spans="1:9" ht="170" x14ac:dyDescent="0.2">
      <c r="A80" t="str">
        <f t="shared" si="1"/>
        <v>079</v>
      </c>
      <c r="B80" s="1" t="s">
        <v>94</v>
      </c>
      <c r="C80" s="1" t="s">
        <v>311</v>
      </c>
      <c r="D80" s="1" t="s">
        <v>214</v>
      </c>
      <c r="E80" t="s">
        <v>29</v>
      </c>
      <c r="F80" t="s">
        <v>23</v>
      </c>
      <c r="G80" s="1" t="s">
        <v>217</v>
      </c>
      <c r="H80" s="1" t="s">
        <v>221</v>
      </c>
      <c r="I80" s="1" t="s">
        <v>278</v>
      </c>
    </row>
    <row r="81" spans="1:9" ht="170" x14ac:dyDescent="0.2">
      <c r="A81" t="str">
        <f t="shared" si="1"/>
        <v>080</v>
      </c>
      <c r="B81" s="1" t="s">
        <v>95</v>
      </c>
      <c r="C81" s="1" t="s">
        <v>311</v>
      </c>
      <c r="D81" s="1" t="s">
        <v>214</v>
      </c>
      <c r="E81" t="s">
        <v>29</v>
      </c>
      <c r="F81" s="2" t="s">
        <v>6</v>
      </c>
      <c r="G81" s="1" t="s">
        <v>217</v>
      </c>
      <c r="H81" s="1" t="s">
        <v>221</v>
      </c>
      <c r="I81" s="1" t="s">
        <v>257</v>
      </c>
    </row>
    <row r="82" spans="1:9" ht="170" x14ac:dyDescent="0.2">
      <c r="A82" t="str">
        <f t="shared" si="1"/>
        <v>081</v>
      </c>
      <c r="B82" s="1" t="s">
        <v>96</v>
      </c>
      <c r="C82" s="1" t="s">
        <v>311</v>
      </c>
      <c r="D82" s="1" t="s">
        <v>214</v>
      </c>
      <c r="E82" t="s">
        <v>29</v>
      </c>
      <c r="F82" t="s">
        <v>23</v>
      </c>
      <c r="G82" s="1" t="s">
        <v>217</v>
      </c>
      <c r="H82" s="1" t="s">
        <v>221</v>
      </c>
      <c r="I82" s="1" t="s">
        <v>257</v>
      </c>
    </row>
    <row r="83" spans="1:9" ht="153" x14ac:dyDescent="0.2">
      <c r="A83" t="str">
        <f t="shared" si="1"/>
        <v>082</v>
      </c>
      <c r="B83" s="1" t="s">
        <v>97</v>
      </c>
      <c r="C83" s="1" t="s">
        <v>308</v>
      </c>
      <c r="D83" s="1" t="s">
        <v>214</v>
      </c>
      <c r="F83" t="s">
        <v>57</v>
      </c>
      <c r="G83" s="1" t="s">
        <v>217</v>
      </c>
      <c r="H83" s="1" t="s">
        <v>221</v>
      </c>
      <c r="I83" s="1" t="s">
        <v>264</v>
      </c>
    </row>
    <row r="84" spans="1:9" ht="170" x14ac:dyDescent="0.2">
      <c r="A84" t="str">
        <f t="shared" si="1"/>
        <v>083</v>
      </c>
      <c r="B84" s="1" t="s">
        <v>98</v>
      </c>
      <c r="C84" s="1" t="s">
        <v>310</v>
      </c>
      <c r="D84" s="1" t="s">
        <v>8</v>
      </c>
      <c r="F84" s="2" t="s">
        <v>6</v>
      </c>
      <c r="G84" s="1" t="s">
        <v>216</v>
      </c>
      <c r="H84" s="1" t="s">
        <v>238</v>
      </c>
      <c r="I84" s="1" t="s">
        <v>279</v>
      </c>
    </row>
    <row r="85" spans="1:9" ht="136" x14ac:dyDescent="0.2">
      <c r="A85" t="str">
        <f t="shared" si="1"/>
        <v>084</v>
      </c>
      <c r="B85" s="1" t="s">
        <v>99</v>
      </c>
      <c r="C85" s="1" t="s">
        <v>310</v>
      </c>
      <c r="D85" s="1" t="s">
        <v>214</v>
      </c>
      <c r="E85" t="s">
        <v>29</v>
      </c>
      <c r="F85" t="s">
        <v>23</v>
      </c>
      <c r="G85" s="1" t="s">
        <v>217</v>
      </c>
      <c r="H85" s="1" t="s">
        <v>221</v>
      </c>
      <c r="I85" s="1" t="s">
        <v>257</v>
      </c>
    </row>
    <row r="86" spans="1:9" ht="170" x14ac:dyDescent="0.2">
      <c r="A86" t="str">
        <f t="shared" si="1"/>
        <v>085</v>
      </c>
      <c r="B86" s="1" t="s">
        <v>100</v>
      </c>
      <c r="C86" s="1" t="s">
        <v>319</v>
      </c>
      <c r="D86" s="1" t="s">
        <v>101</v>
      </c>
      <c r="E86" s="1"/>
      <c r="F86" s="1" t="s">
        <v>23</v>
      </c>
      <c r="G86" s="1" t="s">
        <v>216</v>
      </c>
      <c r="H86" t="s">
        <v>235</v>
      </c>
      <c r="I86" s="1" t="s">
        <v>251</v>
      </c>
    </row>
    <row r="87" spans="1:9" ht="153" x14ac:dyDescent="0.2">
      <c r="A87" t="str">
        <f t="shared" si="1"/>
        <v>086</v>
      </c>
      <c r="B87" s="1" t="s">
        <v>102</v>
      </c>
      <c r="C87" s="1" t="s">
        <v>319</v>
      </c>
      <c r="D87" s="1" t="s">
        <v>214</v>
      </c>
      <c r="F87" t="s">
        <v>213</v>
      </c>
      <c r="G87" s="1" t="s">
        <v>217</v>
      </c>
      <c r="H87" s="1" t="s">
        <v>221</v>
      </c>
      <c r="I87" s="1" t="s">
        <v>264</v>
      </c>
    </row>
    <row r="88" spans="1:9" ht="102" x14ac:dyDescent="0.2">
      <c r="A88" t="str">
        <f t="shared" si="1"/>
        <v>087</v>
      </c>
      <c r="B88" s="1" t="s">
        <v>103</v>
      </c>
      <c r="C88" s="1" t="s">
        <v>318</v>
      </c>
      <c r="D88" s="1" t="s">
        <v>214</v>
      </c>
      <c r="E88" t="s">
        <v>29</v>
      </c>
      <c r="F88" t="s">
        <v>23</v>
      </c>
      <c r="G88" s="1" t="s">
        <v>217</v>
      </c>
      <c r="H88" s="1" t="s">
        <v>221</v>
      </c>
      <c r="I88" s="1" t="s">
        <v>249</v>
      </c>
    </row>
    <row r="89" spans="1:9" ht="119" x14ac:dyDescent="0.2">
      <c r="A89" t="str">
        <f t="shared" si="1"/>
        <v>088</v>
      </c>
      <c r="B89" s="1" t="s">
        <v>104</v>
      </c>
      <c r="C89" s="1" t="s">
        <v>319</v>
      </c>
      <c r="D89" s="1" t="s">
        <v>214</v>
      </c>
      <c r="F89" t="s">
        <v>16</v>
      </c>
      <c r="G89" s="1" t="s">
        <v>217</v>
      </c>
      <c r="H89" s="1" t="s">
        <v>221</v>
      </c>
      <c r="I89" s="1" t="s">
        <v>280</v>
      </c>
    </row>
    <row r="90" spans="1:9" ht="204" x14ac:dyDescent="0.2">
      <c r="A90" t="str">
        <f t="shared" si="1"/>
        <v>089</v>
      </c>
      <c r="B90" s="3" t="s">
        <v>105</v>
      </c>
      <c r="C90" s="1" t="s">
        <v>310</v>
      </c>
      <c r="D90" s="1" t="s">
        <v>10</v>
      </c>
      <c r="E90" s="1"/>
      <c r="F90" t="s">
        <v>213</v>
      </c>
      <c r="G90" s="1" t="s">
        <v>10</v>
      </c>
      <c r="H90" s="1" t="s">
        <v>234</v>
      </c>
      <c r="I90" s="1" t="s">
        <v>221</v>
      </c>
    </row>
    <row r="91" spans="1:9" ht="119" x14ac:dyDescent="0.2">
      <c r="A91" t="str">
        <f t="shared" si="1"/>
        <v>090</v>
      </c>
      <c r="B91" s="1" t="s">
        <v>106</v>
      </c>
      <c r="C91" s="1" t="s">
        <v>310</v>
      </c>
      <c r="D91" s="1" t="s">
        <v>5</v>
      </c>
      <c r="F91" s="2" t="s">
        <v>6</v>
      </c>
      <c r="G91" s="1" t="s">
        <v>216</v>
      </c>
      <c r="H91" s="1" t="s">
        <v>232</v>
      </c>
      <c r="I91" s="1" t="s">
        <v>255</v>
      </c>
    </row>
    <row r="92" spans="1:9" ht="170" x14ac:dyDescent="0.2">
      <c r="A92" t="str">
        <f t="shared" si="1"/>
        <v>091</v>
      </c>
      <c r="B92" s="1" t="s">
        <v>107</v>
      </c>
      <c r="C92" s="1" t="s">
        <v>319</v>
      </c>
      <c r="D92" s="1" t="s">
        <v>8</v>
      </c>
      <c r="F92" s="2" t="s">
        <v>6</v>
      </c>
      <c r="G92" s="1" t="s">
        <v>217</v>
      </c>
      <c r="H92" s="1" t="s">
        <v>221</v>
      </c>
      <c r="I92" s="1" t="s">
        <v>267</v>
      </c>
    </row>
    <row r="93" spans="1:9" ht="153" x14ac:dyDescent="0.2">
      <c r="A93" t="str">
        <f t="shared" si="1"/>
        <v>092</v>
      </c>
      <c r="B93" s="1" t="s">
        <v>108</v>
      </c>
      <c r="C93" s="1" t="s">
        <v>318</v>
      </c>
      <c r="D93" s="1" t="s">
        <v>5</v>
      </c>
      <c r="E93" s="1"/>
      <c r="F93" s="2" t="s">
        <v>6</v>
      </c>
      <c r="G93" s="1" t="s">
        <v>216</v>
      </c>
      <c r="H93" s="1" t="s">
        <v>235</v>
      </c>
      <c r="I93" s="1" t="s">
        <v>281</v>
      </c>
    </row>
    <row r="94" spans="1:9" ht="136" x14ac:dyDescent="0.2">
      <c r="A94" t="str">
        <f t="shared" si="1"/>
        <v>093</v>
      </c>
      <c r="B94" s="1" t="s">
        <v>109</v>
      </c>
      <c r="C94" s="1" t="s">
        <v>319</v>
      </c>
      <c r="D94" s="1" t="s">
        <v>31</v>
      </c>
      <c r="E94" s="1"/>
      <c r="F94" s="2" t="s">
        <v>6</v>
      </c>
      <c r="G94" s="1" t="s">
        <v>217</v>
      </c>
      <c r="H94" s="1" t="s">
        <v>221</v>
      </c>
      <c r="I94" s="1" t="s">
        <v>282</v>
      </c>
    </row>
    <row r="95" spans="1:9" ht="170" x14ac:dyDescent="0.2">
      <c r="A95" t="str">
        <f t="shared" si="1"/>
        <v>094</v>
      </c>
      <c r="B95" s="1" t="s">
        <v>110</v>
      </c>
      <c r="C95" s="1" t="s">
        <v>318</v>
      </c>
      <c r="D95" s="1" t="s">
        <v>10</v>
      </c>
      <c r="E95" s="1"/>
      <c r="F95" s="1" t="s">
        <v>23</v>
      </c>
      <c r="G95" s="1" t="s">
        <v>10</v>
      </c>
      <c r="H95" s="1" t="s">
        <v>234</v>
      </c>
      <c r="I95" s="1" t="s">
        <v>248</v>
      </c>
    </row>
    <row r="96" spans="1:9" ht="153" x14ac:dyDescent="0.2">
      <c r="A96" t="str">
        <f t="shared" si="1"/>
        <v>095</v>
      </c>
      <c r="B96" s="1" t="s">
        <v>111</v>
      </c>
      <c r="C96" s="1" t="s">
        <v>318</v>
      </c>
      <c r="D96" s="1" t="s">
        <v>5</v>
      </c>
      <c r="F96" s="2" t="s">
        <v>6</v>
      </c>
      <c r="G96" s="1" t="s">
        <v>216</v>
      </c>
      <c r="H96" s="1" t="s">
        <v>235</v>
      </c>
      <c r="I96" s="1" t="s">
        <v>283</v>
      </c>
    </row>
    <row r="97" spans="1:9" ht="136" x14ac:dyDescent="0.2">
      <c r="A97" t="str">
        <f t="shared" si="1"/>
        <v>096</v>
      </c>
      <c r="B97" s="1" t="s">
        <v>112</v>
      </c>
      <c r="C97" s="1" t="s">
        <v>319</v>
      </c>
      <c r="D97" s="1" t="s">
        <v>214</v>
      </c>
      <c r="E97" s="1"/>
      <c r="F97" s="1" t="s">
        <v>57</v>
      </c>
      <c r="G97" s="1" t="s">
        <v>217</v>
      </c>
      <c r="H97" s="1" t="s">
        <v>221</v>
      </c>
      <c r="I97" s="1" t="s">
        <v>249</v>
      </c>
    </row>
    <row r="98" spans="1:9" ht="170" x14ac:dyDescent="0.2">
      <c r="A98" t="str">
        <f t="shared" si="1"/>
        <v>097</v>
      </c>
      <c r="B98" s="1" t="s">
        <v>113</v>
      </c>
      <c r="C98" s="1" t="s">
        <v>310</v>
      </c>
      <c r="D98" s="1" t="s">
        <v>5</v>
      </c>
      <c r="E98" s="1"/>
      <c r="F98" t="s">
        <v>213</v>
      </c>
      <c r="G98" s="1" t="s">
        <v>216</v>
      </c>
      <c r="H98" s="1" t="s">
        <v>232</v>
      </c>
      <c r="I98" s="1" t="s">
        <v>284</v>
      </c>
    </row>
    <row r="99" spans="1:9" ht="136" x14ac:dyDescent="0.2">
      <c r="A99" t="str">
        <f t="shared" si="1"/>
        <v>098</v>
      </c>
      <c r="B99" s="1" t="s">
        <v>114</v>
      </c>
      <c r="C99" s="1" t="s">
        <v>317</v>
      </c>
      <c r="D99" s="1" t="s">
        <v>8</v>
      </c>
      <c r="F99" t="s">
        <v>23</v>
      </c>
      <c r="G99" s="1" t="s">
        <v>217</v>
      </c>
      <c r="H99" s="1" t="s">
        <v>221</v>
      </c>
      <c r="I99" s="1" t="s">
        <v>285</v>
      </c>
    </row>
    <row r="100" spans="1:9" ht="204" x14ac:dyDescent="0.2">
      <c r="A100" t="str">
        <f t="shared" si="1"/>
        <v>099</v>
      </c>
      <c r="B100" s="1" t="s">
        <v>115</v>
      </c>
      <c r="C100" s="1" t="s">
        <v>319</v>
      </c>
      <c r="D100" s="1" t="s">
        <v>214</v>
      </c>
      <c r="F100" s="2" t="s">
        <v>6</v>
      </c>
      <c r="G100" s="1" t="s">
        <v>217</v>
      </c>
      <c r="H100" s="1" t="s">
        <v>221</v>
      </c>
      <c r="I100" s="1" t="s">
        <v>249</v>
      </c>
    </row>
    <row r="101" spans="1:9" ht="170" x14ac:dyDescent="0.2">
      <c r="A101" t="str">
        <f t="shared" si="1"/>
        <v>100</v>
      </c>
      <c r="B101" s="1" t="s">
        <v>116</v>
      </c>
      <c r="C101" s="1" t="s">
        <v>318</v>
      </c>
      <c r="D101" s="1" t="s">
        <v>214</v>
      </c>
      <c r="F101" t="s">
        <v>57</v>
      </c>
      <c r="G101" s="1" t="s">
        <v>217</v>
      </c>
      <c r="H101" s="1" t="s">
        <v>221</v>
      </c>
      <c r="I101" s="1" t="s">
        <v>249</v>
      </c>
    </row>
    <row r="102" spans="1:9" ht="136" x14ac:dyDescent="0.2">
      <c r="A102" t="str">
        <f t="shared" si="1"/>
        <v>101</v>
      </c>
      <c r="B102" s="1" t="s">
        <v>117</v>
      </c>
      <c r="C102" s="1" t="s">
        <v>318</v>
      </c>
      <c r="D102" s="1" t="s">
        <v>214</v>
      </c>
      <c r="F102" s="2" t="s">
        <v>6</v>
      </c>
      <c r="G102" s="1" t="s">
        <v>217</v>
      </c>
      <c r="H102" s="1" t="s">
        <v>221</v>
      </c>
      <c r="I102" s="1" t="s">
        <v>249</v>
      </c>
    </row>
    <row r="103" spans="1:9" ht="153" x14ac:dyDescent="0.2">
      <c r="A103" t="str">
        <f t="shared" si="1"/>
        <v>102</v>
      </c>
      <c r="B103" s="1" t="s">
        <v>118</v>
      </c>
      <c r="C103" s="1" t="s">
        <v>319</v>
      </c>
      <c r="D103" s="1" t="s">
        <v>214</v>
      </c>
      <c r="F103" s="2" t="s">
        <v>6</v>
      </c>
      <c r="G103" s="1" t="s">
        <v>217</v>
      </c>
      <c r="H103" s="1" t="s">
        <v>221</v>
      </c>
      <c r="I103" s="1" t="s">
        <v>249</v>
      </c>
    </row>
    <row r="104" spans="1:9" ht="170" x14ac:dyDescent="0.2">
      <c r="A104" t="str">
        <f t="shared" si="1"/>
        <v>103</v>
      </c>
      <c r="B104" s="1" t="s">
        <v>119</v>
      </c>
      <c r="C104" s="1" t="s">
        <v>310</v>
      </c>
      <c r="D104" s="1" t="s">
        <v>101</v>
      </c>
      <c r="F104" t="s">
        <v>23</v>
      </c>
      <c r="G104" s="1" t="s">
        <v>217</v>
      </c>
      <c r="H104" s="1" t="s">
        <v>221</v>
      </c>
      <c r="I104" s="1" t="s">
        <v>248</v>
      </c>
    </row>
    <row r="105" spans="1:9" ht="136" x14ac:dyDescent="0.2">
      <c r="A105" t="str">
        <f t="shared" si="1"/>
        <v>104</v>
      </c>
      <c r="B105" s="1" t="s">
        <v>120</v>
      </c>
      <c r="C105" s="1" t="s">
        <v>310</v>
      </c>
      <c r="D105" s="1" t="s">
        <v>31</v>
      </c>
      <c r="F105" t="s">
        <v>23</v>
      </c>
      <c r="G105" s="1" t="s">
        <v>217</v>
      </c>
      <c r="H105" s="1" t="s">
        <v>221</v>
      </c>
      <c r="I105" s="1" t="s">
        <v>286</v>
      </c>
    </row>
    <row r="106" spans="1:9" ht="136" x14ac:dyDescent="0.2">
      <c r="A106" t="str">
        <f t="shared" si="1"/>
        <v>105</v>
      </c>
      <c r="B106" s="1" t="s">
        <v>121</v>
      </c>
      <c r="C106" s="1" t="s">
        <v>310</v>
      </c>
      <c r="D106" s="1" t="s">
        <v>214</v>
      </c>
      <c r="E106" t="s">
        <v>29</v>
      </c>
      <c r="F106" t="s">
        <v>23</v>
      </c>
      <c r="G106" s="1" t="s">
        <v>217</v>
      </c>
      <c r="H106" s="1" t="s">
        <v>221</v>
      </c>
      <c r="I106" s="1" t="s">
        <v>257</v>
      </c>
    </row>
    <row r="107" spans="1:9" ht="170" x14ac:dyDescent="0.2">
      <c r="A107" t="str">
        <f t="shared" si="1"/>
        <v>106</v>
      </c>
      <c r="B107" s="1" t="s">
        <v>122</v>
      </c>
      <c r="C107" s="1" t="s">
        <v>319</v>
      </c>
      <c r="D107" s="1" t="s">
        <v>214</v>
      </c>
      <c r="E107" t="s">
        <v>29</v>
      </c>
      <c r="F107" t="s">
        <v>23</v>
      </c>
      <c r="G107" s="1" t="s">
        <v>217</v>
      </c>
      <c r="H107" s="1" t="s">
        <v>221</v>
      </c>
      <c r="I107" s="1" t="s">
        <v>257</v>
      </c>
    </row>
    <row r="108" spans="1:9" ht="221" x14ac:dyDescent="0.2">
      <c r="A108" t="str">
        <f t="shared" si="1"/>
        <v>107</v>
      </c>
      <c r="B108" s="1" t="s">
        <v>123</v>
      </c>
      <c r="C108" s="1" t="s">
        <v>319</v>
      </c>
      <c r="D108" s="1" t="s">
        <v>31</v>
      </c>
      <c r="E108" s="1"/>
      <c r="F108" s="1" t="s">
        <v>23</v>
      </c>
      <c r="G108" s="1" t="s">
        <v>217</v>
      </c>
      <c r="H108" s="1" t="s">
        <v>221</v>
      </c>
      <c r="I108" s="1" t="s">
        <v>287</v>
      </c>
    </row>
    <row r="109" spans="1:9" ht="170" x14ac:dyDescent="0.2">
      <c r="A109" t="str">
        <f t="shared" si="1"/>
        <v>108</v>
      </c>
      <c r="B109" s="1" t="s">
        <v>124</v>
      </c>
      <c r="C109" s="1" t="s">
        <v>318</v>
      </c>
      <c r="D109" s="1" t="s">
        <v>214</v>
      </c>
      <c r="E109" t="s">
        <v>29</v>
      </c>
      <c r="F109" s="2" t="s">
        <v>6</v>
      </c>
      <c r="G109" s="1" t="s">
        <v>217</v>
      </c>
      <c r="H109" s="1" t="s">
        <v>221</v>
      </c>
      <c r="I109" s="1" t="s">
        <v>257</v>
      </c>
    </row>
    <row r="110" spans="1:9" ht="170" x14ac:dyDescent="0.2">
      <c r="A110" t="str">
        <f t="shared" si="1"/>
        <v>109</v>
      </c>
      <c r="B110" s="1" t="s">
        <v>125</v>
      </c>
      <c r="C110" s="1" t="s">
        <v>318</v>
      </c>
      <c r="D110" s="1" t="s">
        <v>5</v>
      </c>
      <c r="F110" s="2" t="s">
        <v>6</v>
      </c>
      <c r="G110" s="1" t="s">
        <v>216</v>
      </c>
      <c r="H110" s="1" t="s">
        <v>232</v>
      </c>
      <c r="I110" s="1" t="s">
        <v>248</v>
      </c>
    </row>
    <row r="111" spans="1:9" ht="136" x14ac:dyDescent="0.2">
      <c r="A111" t="str">
        <f t="shared" si="1"/>
        <v>110</v>
      </c>
      <c r="B111" s="1" t="s">
        <v>126</v>
      </c>
      <c r="C111" s="1" t="s">
        <v>319</v>
      </c>
      <c r="D111" s="1" t="s">
        <v>214</v>
      </c>
      <c r="F111" t="s">
        <v>57</v>
      </c>
      <c r="G111" s="1" t="s">
        <v>217</v>
      </c>
      <c r="H111" s="1" t="s">
        <v>221</v>
      </c>
      <c r="I111" s="1" t="s">
        <v>249</v>
      </c>
    </row>
    <row r="112" spans="1:9" ht="187" x14ac:dyDescent="0.2">
      <c r="A112" t="str">
        <f t="shared" si="1"/>
        <v>111</v>
      </c>
      <c r="B112" s="1" t="s">
        <v>127</v>
      </c>
      <c r="C112" s="1" t="s">
        <v>310</v>
      </c>
      <c r="D112" s="1" t="s">
        <v>214</v>
      </c>
      <c r="E112" t="s">
        <v>29</v>
      </c>
      <c r="F112" s="2" t="s">
        <v>6</v>
      </c>
      <c r="G112" s="1" t="s">
        <v>217</v>
      </c>
      <c r="H112" s="1" t="s">
        <v>221</v>
      </c>
      <c r="I112" s="1" t="s">
        <v>257</v>
      </c>
    </row>
    <row r="113" spans="1:9" ht="136" x14ac:dyDescent="0.2">
      <c r="A113" t="str">
        <f t="shared" si="1"/>
        <v>112</v>
      </c>
      <c r="B113" s="3" t="s">
        <v>128</v>
      </c>
      <c r="C113" s="1" t="s">
        <v>318</v>
      </c>
      <c r="D113" s="1" t="s">
        <v>8</v>
      </c>
      <c r="E113" t="s">
        <v>29</v>
      </c>
      <c r="F113" t="s">
        <v>23</v>
      </c>
      <c r="G113" s="1" t="s">
        <v>217</v>
      </c>
      <c r="H113" s="1" t="s">
        <v>221</v>
      </c>
      <c r="I113" s="1" t="s">
        <v>288</v>
      </c>
    </row>
    <row r="114" spans="1:9" ht="204" x14ac:dyDescent="0.2">
      <c r="A114" t="str">
        <f t="shared" si="1"/>
        <v>113</v>
      </c>
      <c r="B114" s="1" t="s">
        <v>129</v>
      </c>
      <c r="C114" s="1" t="s">
        <v>319</v>
      </c>
      <c r="D114" s="1" t="s">
        <v>31</v>
      </c>
      <c r="F114" t="s">
        <v>23</v>
      </c>
      <c r="G114" s="1" t="s">
        <v>217</v>
      </c>
      <c r="H114" s="1" t="s">
        <v>221</v>
      </c>
      <c r="I114" s="1" t="s">
        <v>289</v>
      </c>
    </row>
    <row r="115" spans="1:9" ht="153" x14ac:dyDescent="0.2">
      <c r="A115" t="str">
        <f t="shared" si="1"/>
        <v>114</v>
      </c>
      <c r="B115" s="1" t="s">
        <v>130</v>
      </c>
      <c r="C115" s="1" t="s">
        <v>310</v>
      </c>
      <c r="D115" s="1" t="s">
        <v>214</v>
      </c>
      <c r="E115" s="1" t="s">
        <v>29</v>
      </c>
      <c r="F115" t="s">
        <v>23</v>
      </c>
      <c r="G115" s="1" t="s">
        <v>217</v>
      </c>
      <c r="H115" s="1" t="s">
        <v>221</v>
      </c>
      <c r="I115" s="1" t="s">
        <v>257</v>
      </c>
    </row>
    <row r="116" spans="1:9" ht="136" x14ac:dyDescent="0.2">
      <c r="A116" t="str">
        <f t="shared" si="1"/>
        <v>115</v>
      </c>
      <c r="B116" s="1" t="s">
        <v>131</v>
      </c>
      <c r="C116" s="1" t="s">
        <v>310</v>
      </c>
      <c r="D116" s="1" t="s">
        <v>214</v>
      </c>
      <c r="F116" t="s">
        <v>23</v>
      </c>
      <c r="G116" s="1" t="s">
        <v>217</v>
      </c>
      <c r="H116" s="1" t="s">
        <v>221</v>
      </c>
      <c r="I116" s="1" t="s">
        <v>249</v>
      </c>
    </row>
    <row r="117" spans="1:9" ht="136" x14ac:dyDescent="0.2">
      <c r="A117" t="str">
        <f t="shared" si="1"/>
        <v>116</v>
      </c>
      <c r="B117" s="1" t="s">
        <v>132</v>
      </c>
      <c r="C117" s="1" t="s">
        <v>319</v>
      </c>
      <c r="D117" s="1" t="s">
        <v>5</v>
      </c>
      <c r="F117" t="s">
        <v>213</v>
      </c>
      <c r="G117" s="1" t="s">
        <v>216</v>
      </c>
      <c r="H117" s="1" t="s">
        <v>232</v>
      </c>
      <c r="I117" s="1" t="s">
        <v>248</v>
      </c>
    </row>
    <row r="118" spans="1:9" ht="119" x14ac:dyDescent="0.2">
      <c r="A118" t="str">
        <f t="shared" si="1"/>
        <v>117</v>
      </c>
      <c r="B118" s="1" t="s">
        <v>133</v>
      </c>
      <c r="C118" s="1" t="s">
        <v>312</v>
      </c>
      <c r="D118" s="1" t="s">
        <v>8</v>
      </c>
      <c r="F118" t="s">
        <v>57</v>
      </c>
      <c r="G118" s="1" t="s">
        <v>217</v>
      </c>
      <c r="H118" s="1" t="s">
        <v>221</v>
      </c>
      <c r="I118" s="1" t="s">
        <v>259</v>
      </c>
    </row>
    <row r="119" spans="1:9" ht="136" x14ac:dyDescent="0.2">
      <c r="A119" t="str">
        <f t="shared" si="1"/>
        <v>118</v>
      </c>
      <c r="B119" s="1" t="s">
        <v>134</v>
      </c>
      <c r="C119" s="1" t="s">
        <v>324</v>
      </c>
      <c r="D119" s="1" t="s">
        <v>5</v>
      </c>
      <c r="F119" t="s">
        <v>16</v>
      </c>
      <c r="G119" s="1" t="s">
        <v>216</v>
      </c>
      <c r="H119" s="1" t="s">
        <v>235</v>
      </c>
      <c r="I119" s="1" t="s">
        <v>261</v>
      </c>
    </row>
    <row r="120" spans="1:9" ht="187" x14ac:dyDescent="0.2">
      <c r="A120" t="str">
        <f t="shared" si="1"/>
        <v>119</v>
      </c>
      <c r="B120" s="1" t="s">
        <v>135</v>
      </c>
      <c r="C120" s="1" t="s">
        <v>312</v>
      </c>
      <c r="D120" s="1" t="s">
        <v>214</v>
      </c>
      <c r="F120" t="s">
        <v>23</v>
      </c>
      <c r="G120" s="1" t="s">
        <v>217</v>
      </c>
      <c r="H120" s="1" t="s">
        <v>221</v>
      </c>
      <c r="I120" s="1" t="s">
        <v>249</v>
      </c>
    </row>
    <row r="121" spans="1:9" ht="136" x14ac:dyDescent="0.2">
      <c r="A121" t="str">
        <f t="shared" si="1"/>
        <v>120</v>
      </c>
      <c r="B121" s="1" t="s">
        <v>136</v>
      </c>
      <c r="C121" s="1" t="s">
        <v>324</v>
      </c>
      <c r="D121" s="1" t="s">
        <v>10</v>
      </c>
      <c r="F121" t="s">
        <v>23</v>
      </c>
      <c r="G121" s="1" t="s">
        <v>10</v>
      </c>
      <c r="H121" s="1" t="s">
        <v>234</v>
      </c>
      <c r="I121" s="1" t="s">
        <v>290</v>
      </c>
    </row>
    <row r="122" spans="1:9" ht="136" x14ac:dyDescent="0.2">
      <c r="A122" t="str">
        <f t="shared" si="1"/>
        <v>121</v>
      </c>
      <c r="B122" s="1" t="s">
        <v>137</v>
      </c>
      <c r="C122" s="1" t="s">
        <v>324</v>
      </c>
      <c r="D122" s="1" t="s">
        <v>214</v>
      </c>
      <c r="F122" t="s">
        <v>23</v>
      </c>
      <c r="G122" s="1" t="s">
        <v>217</v>
      </c>
      <c r="H122" s="1" t="s">
        <v>221</v>
      </c>
      <c r="I122" s="1" t="s">
        <v>249</v>
      </c>
    </row>
    <row r="123" spans="1:9" ht="170" x14ac:dyDescent="0.2">
      <c r="A123" t="str">
        <f t="shared" si="1"/>
        <v>122</v>
      </c>
      <c r="B123" s="1" t="s">
        <v>138</v>
      </c>
      <c r="C123" s="1" t="s">
        <v>324</v>
      </c>
      <c r="D123" s="1" t="s">
        <v>10</v>
      </c>
      <c r="F123" t="s">
        <v>16</v>
      </c>
      <c r="G123" s="1" t="s">
        <v>10</v>
      </c>
      <c r="H123" s="1" t="s">
        <v>234</v>
      </c>
      <c r="I123" s="1" t="s">
        <v>291</v>
      </c>
    </row>
    <row r="124" spans="1:9" ht="153" x14ac:dyDescent="0.2">
      <c r="A124" t="str">
        <f t="shared" si="1"/>
        <v>123</v>
      </c>
      <c r="B124" s="1" t="s">
        <v>139</v>
      </c>
      <c r="C124" s="1" t="s">
        <v>317</v>
      </c>
      <c r="D124" s="1" t="s">
        <v>10</v>
      </c>
      <c r="F124" s="2" t="s">
        <v>6</v>
      </c>
      <c r="G124" s="1" t="s">
        <v>10</v>
      </c>
      <c r="H124" s="1" t="s">
        <v>234</v>
      </c>
      <c r="I124" s="1" t="s">
        <v>275</v>
      </c>
    </row>
    <row r="125" spans="1:9" ht="136" x14ac:dyDescent="0.2">
      <c r="A125" t="str">
        <f t="shared" si="1"/>
        <v>124</v>
      </c>
      <c r="B125" s="1" t="s">
        <v>140</v>
      </c>
      <c r="C125" s="1" t="s">
        <v>324</v>
      </c>
      <c r="D125" s="1" t="s">
        <v>5</v>
      </c>
      <c r="E125" s="1"/>
      <c r="F125" s="2" t="s">
        <v>6</v>
      </c>
      <c r="G125" s="1" t="s">
        <v>216</v>
      </c>
      <c r="H125" s="1" t="s">
        <v>232</v>
      </c>
      <c r="I125" s="1" t="s">
        <v>253</v>
      </c>
    </row>
    <row r="126" spans="1:9" ht="119" x14ac:dyDescent="0.2">
      <c r="A126" t="str">
        <f t="shared" si="1"/>
        <v>125</v>
      </c>
      <c r="B126" s="1" t="s">
        <v>141</v>
      </c>
      <c r="C126" s="1" t="s">
        <v>317</v>
      </c>
      <c r="D126" s="1" t="s">
        <v>5</v>
      </c>
      <c r="F126" s="2" t="s">
        <v>6</v>
      </c>
      <c r="G126" s="1" t="s">
        <v>216</v>
      </c>
      <c r="H126" s="1" t="s">
        <v>238</v>
      </c>
      <c r="I126" s="1" t="s">
        <v>292</v>
      </c>
    </row>
    <row r="127" spans="1:9" ht="102" x14ac:dyDescent="0.2">
      <c r="A127" t="str">
        <f t="shared" si="1"/>
        <v>126</v>
      </c>
      <c r="B127" s="1" t="s">
        <v>142</v>
      </c>
      <c r="C127" s="1" t="s">
        <v>312</v>
      </c>
      <c r="D127" s="1" t="s">
        <v>8</v>
      </c>
      <c r="F127" t="s">
        <v>23</v>
      </c>
      <c r="G127" s="1" t="s">
        <v>217</v>
      </c>
      <c r="H127" s="1" t="s">
        <v>221</v>
      </c>
      <c r="I127" s="1" t="s">
        <v>293</v>
      </c>
    </row>
    <row r="128" spans="1:9" ht="170" x14ac:dyDescent="0.2">
      <c r="A128" t="str">
        <f t="shared" si="1"/>
        <v>127</v>
      </c>
      <c r="B128" s="1" t="s">
        <v>143</v>
      </c>
      <c r="C128" s="1" t="s">
        <v>321</v>
      </c>
      <c r="D128" s="1" t="s">
        <v>214</v>
      </c>
      <c r="F128" t="s">
        <v>23</v>
      </c>
      <c r="G128" s="1" t="s">
        <v>217</v>
      </c>
      <c r="H128" s="1" t="s">
        <v>221</v>
      </c>
      <c r="I128" s="1" t="s">
        <v>249</v>
      </c>
    </row>
    <row r="129" spans="1:9" ht="136" x14ac:dyDescent="0.2">
      <c r="A129" t="str">
        <f t="shared" si="1"/>
        <v>128</v>
      </c>
      <c r="B129" s="1" t="s">
        <v>144</v>
      </c>
      <c r="C129" s="1" t="s">
        <v>312</v>
      </c>
      <c r="D129" s="1" t="s">
        <v>10</v>
      </c>
      <c r="F129" t="s">
        <v>23</v>
      </c>
      <c r="G129" s="1" t="s">
        <v>10</v>
      </c>
      <c r="H129" s="1" t="s">
        <v>234</v>
      </c>
      <c r="I129" s="1" t="s">
        <v>249</v>
      </c>
    </row>
    <row r="130" spans="1:9" ht="136" x14ac:dyDescent="0.2">
      <c r="A130" t="str">
        <f t="shared" si="1"/>
        <v>129</v>
      </c>
      <c r="B130" s="1" t="s">
        <v>145</v>
      </c>
      <c r="C130" s="1" t="s">
        <v>317</v>
      </c>
      <c r="D130" s="1" t="s">
        <v>214</v>
      </c>
      <c r="F130" t="s">
        <v>23</v>
      </c>
      <c r="G130" s="1" t="s">
        <v>217</v>
      </c>
      <c r="H130" s="1" t="s">
        <v>221</v>
      </c>
      <c r="I130" s="1" t="s">
        <v>249</v>
      </c>
    </row>
    <row r="131" spans="1:9" ht="170" x14ac:dyDescent="0.2">
      <c r="A131" t="str">
        <f t="shared" si="1"/>
        <v>130</v>
      </c>
      <c r="B131" s="1" t="s">
        <v>146</v>
      </c>
      <c r="C131" s="1" t="s">
        <v>319</v>
      </c>
      <c r="D131" s="1" t="s">
        <v>10</v>
      </c>
      <c r="F131" t="s">
        <v>23</v>
      </c>
      <c r="G131" s="1" t="s">
        <v>10</v>
      </c>
      <c r="H131" s="1" t="s">
        <v>234</v>
      </c>
      <c r="I131" s="1" t="s">
        <v>249</v>
      </c>
    </row>
    <row r="132" spans="1:9" ht="153" x14ac:dyDescent="0.2">
      <c r="A132" t="str">
        <f t="shared" ref="A132:A195" si="2">TEXT(ROW()-1,"000")</f>
        <v>131</v>
      </c>
      <c r="B132" s="1" t="s">
        <v>147</v>
      </c>
      <c r="C132" s="1" t="s">
        <v>312</v>
      </c>
      <c r="D132" s="1" t="s">
        <v>214</v>
      </c>
      <c r="F132" t="s">
        <v>23</v>
      </c>
      <c r="G132" s="1" t="s">
        <v>217</v>
      </c>
      <c r="H132" s="1" t="s">
        <v>221</v>
      </c>
      <c r="I132" s="1" t="s">
        <v>249</v>
      </c>
    </row>
    <row r="133" spans="1:9" ht="170" x14ac:dyDescent="0.2">
      <c r="A133" t="str">
        <f t="shared" si="2"/>
        <v>132</v>
      </c>
      <c r="B133" s="1" t="s">
        <v>148</v>
      </c>
      <c r="C133" s="1" t="s">
        <v>324</v>
      </c>
      <c r="D133" s="1" t="s">
        <v>20</v>
      </c>
      <c r="F133" t="s">
        <v>23</v>
      </c>
      <c r="G133" s="1" t="s">
        <v>217</v>
      </c>
      <c r="H133" s="1" t="s">
        <v>221</v>
      </c>
      <c r="I133" s="1" t="s">
        <v>280</v>
      </c>
    </row>
    <row r="134" spans="1:9" ht="153" x14ac:dyDescent="0.2">
      <c r="A134" t="str">
        <f t="shared" si="2"/>
        <v>133</v>
      </c>
      <c r="B134" s="1" t="s">
        <v>149</v>
      </c>
      <c r="C134" s="1" t="s">
        <v>321</v>
      </c>
      <c r="D134" s="1" t="s">
        <v>214</v>
      </c>
      <c r="F134" t="s">
        <v>57</v>
      </c>
      <c r="G134" s="1" t="s">
        <v>217</v>
      </c>
      <c r="H134" s="1" t="s">
        <v>221</v>
      </c>
      <c r="I134" s="1" t="s">
        <v>249</v>
      </c>
    </row>
    <row r="135" spans="1:9" ht="170" x14ac:dyDescent="0.2">
      <c r="A135" t="str">
        <f t="shared" si="2"/>
        <v>134</v>
      </c>
      <c r="B135" s="1" t="s">
        <v>150</v>
      </c>
      <c r="C135" s="1" t="s">
        <v>321</v>
      </c>
      <c r="D135" s="1" t="s">
        <v>5</v>
      </c>
      <c r="F135" t="s">
        <v>23</v>
      </c>
      <c r="G135" s="1" t="s">
        <v>216</v>
      </c>
      <c r="H135" s="1" t="s">
        <v>238</v>
      </c>
      <c r="I135" s="1" t="s">
        <v>252</v>
      </c>
    </row>
    <row r="136" spans="1:9" ht="170" x14ac:dyDescent="0.2">
      <c r="A136" t="str">
        <f t="shared" si="2"/>
        <v>135</v>
      </c>
      <c r="B136" s="1" t="s">
        <v>151</v>
      </c>
      <c r="C136" s="1" t="s">
        <v>312</v>
      </c>
      <c r="D136" s="1" t="s">
        <v>86</v>
      </c>
      <c r="E136" s="1"/>
      <c r="F136" s="1" t="s">
        <v>23</v>
      </c>
      <c r="G136" s="1" t="s">
        <v>217</v>
      </c>
      <c r="H136" s="1" t="s">
        <v>221</v>
      </c>
      <c r="I136" s="1" t="s">
        <v>259</v>
      </c>
    </row>
    <row r="137" spans="1:9" ht="170" x14ac:dyDescent="0.2">
      <c r="A137" t="str">
        <f t="shared" si="2"/>
        <v>136</v>
      </c>
      <c r="B137" s="1" t="s">
        <v>152</v>
      </c>
      <c r="C137" s="1" t="s">
        <v>324</v>
      </c>
      <c r="D137" s="1" t="s">
        <v>10</v>
      </c>
      <c r="F137" t="s">
        <v>23</v>
      </c>
      <c r="G137" s="1" t="s">
        <v>10</v>
      </c>
      <c r="H137" s="1" t="s">
        <v>221</v>
      </c>
      <c r="I137" s="1" t="s">
        <v>279</v>
      </c>
    </row>
    <row r="138" spans="1:9" ht="170" x14ac:dyDescent="0.2">
      <c r="A138" t="str">
        <f t="shared" si="2"/>
        <v>137</v>
      </c>
      <c r="B138" s="1" t="s">
        <v>153</v>
      </c>
      <c r="C138" s="1" t="s">
        <v>312</v>
      </c>
      <c r="D138" s="1" t="s">
        <v>214</v>
      </c>
      <c r="F138" t="s">
        <v>23</v>
      </c>
      <c r="G138" s="1" t="s">
        <v>217</v>
      </c>
      <c r="H138" s="1" t="s">
        <v>221</v>
      </c>
      <c r="I138" s="1" t="s">
        <v>249</v>
      </c>
    </row>
    <row r="139" spans="1:9" ht="170" x14ac:dyDescent="0.2">
      <c r="A139" t="str">
        <f t="shared" si="2"/>
        <v>138</v>
      </c>
      <c r="B139" s="1" t="s">
        <v>154</v>
      </c>
      <c r="C139" s="1" t="s">
        <v>319</v>
      </c>
      <c r="D139" s="1" t="s">
        <v>214</v>
      </c>
      <c r="E139" t="s">
        <v>29</v>
      </c>
      <c r="F139" t="s">
        <v>57</v>
      </c>
      <c r="G139" s="1" t="s">
        <v>217</v>
      </c>
      <c r="H139" s="1" t="s">
        <v>221</v>
      </c>
      <c r="I139" s="1" t="s">
        <v>249</v>
      </c>
    </row>
    <row r="140" spans="1:9" ht="136" x14ac:dyDescent="0.2">
      <c r="A140" t="str">
        <f t="shared" si="2"/>
        <v>139</v>
      </c>
      <c r="B140" s="1" t="s">
        <v>155</v>
      </c>
      <c r="C140" s="1" t="s">
        <v>317</v>
      </c>
      <c r="D140" s="1" t="s">
        <v>214</v>
      </c>
      <c r="F140" t="s">
        <v>16</v>
      </c>
      <c r="G140" s="1" t="s">
        <v>217</v>
      </c>
      <c r="H140" s="1" t="s">
        <v>221</v>
      </c>
      <c r="I140" s="1" t="s">
        <v>251</v>
      </c>
    </row>
    <row r="141" spans="1:9" ht="153" x14ac:dyDescent="0.2">
      <c r="A141" t="str">
        <f t="shared" si="2"/>
        <v>140</v>
      </c>
      <c r="B141" s="1" t="s">
        <v>156</v>
      </c>
      <c r="C141" s="1" t="s">
        <v>321</v>
      </c>
      <c r="D141" s="1" t="s">
        <v>214</v>
      </c>
      <c r="F141" t="s">
        <v>57</v>
      </c>
      <c r="G141" s="1" t="s">
        <v>217</v>
      </c>
      <c r="H141" s="1" t="s">
        <v>221</v>
      </c>
      <c r="I141" s="1" t="s">
        <v>249</v>
      </c>
    </row>
    <row r="142" spans="1:9" ht="187" x14ac:dyDescent="0.2">
      <c r="A142" t="str">
        <f t="shared" si="2"/>
        <v>141</v>
      </c>
      <c r="B142" s="1" t="s">
        <v>157</v>
      </c>
      <c r="C142" s="1" t="s">
        <v>312</v>
      </c>
      <c r="D142" s="1" t="s">
        <v>5</v>
      </c>
      <c r="F142" t="s">
        <v>16</v>
      </c>
      <c r="G142" s="1" t="s">
        <v>216</v>
      </c>
      <c r="H142" s="1" t="s">
        <v>238</v>
      </c>
      <c r="I142" s="1" t="s">
        <v>251</v>
      </c>
    </row>
    <row r="143" spans="1:9" ht="187" x14ac:dyDescent="0.2">
      <c r="A143" t="str">
        <f t="shared" si="2"/>
        <v>142</v>
      </c>
      <c r="B143" s="1" t="s">
        <v>158</v>
      </c>
      <c r="C143" s="1" t="s">
        <v>322</v>
      </c>
      <c r="D143" s="1" t="s">
        <v>214</v>
      </c>
      <c r="F143" t="s">
        <v>23</v>
      </c>
      <c r="G143" s="1" t="s">
        <v>217</v>
      </c>
      <c r="H143" s="1" t="s">
        <v>221</v>
      </c>
      <c r="I143" s="1" t="s">
        <v>248</v>
      </c>
    </row>
    <row r="144" spans="1:9" ht="153" x14ac:dyDescent="0.2">
      <c r="A144" t="str">
        <f t="shared" si="2"/>
        <v>143</v>
      </c>
      <c r="B144" s="1" t="s">
        <v>159</v>
      </c>
      <c r="C144" s="1" t="s">
        <v>312</v>
      </c>
      <c r="D144" s="1" t="s">
        <v>5</v>
      </c>
      <c r="F144" t="s">
        <v>213</v>
      </c>
      <c r="G144" s="1" t="s">
        <v>216</v>
      </c>
      <c r="H144" s="1" t="s">
        <v>232</v>
      </c>
      <c r="I144" s="1" t="s">
        <v>221</v>
      </c>
    </row>
    <row r="145" spans="1:9" ht="136" x14ac:dyDescent="0.2">
      <c r="A145" t="str">
        <f t="shared" si="2"/>
        <v>144</v>
      </c>
      <c r="B145" s="1" t="s">
        <v>160</v>
      </c>
      <c r="C145" s="1" t="s">
        <v>322</v>
      </c>
      <c r="D145" s="1" t="s">
        <v>26</v>
      </c>
      <c r="F145" t="s">
        <v>23</v>
      </c>
      <c r="G145" s="1" t="s">
        <v>216</v>
      </c>
      <c r="H145" s="1" t="s">
        <v>238</v>
      </c>
      <c r="I145" s="1" t="s">
        <v>294</v>
      </c>
    </row>
    <row r="146" spans="1:9" ht="136" x14ac:dyDescent="0.2">
      <c r="A146" t="str">
        <f t="shared" si="2"/>
        <v>145</v>
      </c>
      <c r="B146" s="1" t="s">
        <v>161</v>
      </c>
      <c r="C146" s="1" t="s">
        <v>324</v>
      </c>
      <c r="D146" s="1" t="s">
        <v>214</v>
      </c>
      <c r="F146" t="s">
        <v>23</v>
      </c>
      <c r="G146" s="1" t="s">
        <v>217</v>
      </c>
      <c r="H146" s="1" t="s">
        <v>221</v>
      </c>
      <c r="I146" s="1" t="s">
        <v>287</v>
      </c>
    </row>
    <row r="147" spans="1:9" ht="136" x14ac:dyDescent="0.2">
      <c r="A147" t="str">
        <f t="shared" si="2"/>
        <v>146</v>
      </c>
      <c r="B147" s="1" t="s">
        <v>162</v>
      </c>
      <c r="C147" s="1" t="s">
        <v>312</v>
      </c>
      <c r="D147" s="1" t="s">
        <v>214</v>
      </c>
      <c r="F147" t="s">
        <v>16</v>
      </c>
      <c r="G147" s="1" t="s">
        <v>217</v>
      </c>
      <c r="H147" s="1" t="s">
        <v>221</v>
      </c>
      <c r="I147" s="1" t="s">
        <v>249</v>
      </c>
    </row>
    <row r="148" spans="1:9" ht="119" x14ac:dyDescent="0.2">
      <c r="A148" t="str">
        <f t="shared" si="2"/>
        <v>147</v>
      </c>
      <c r="B148" s="1" t="s">
        <v>22</v>
      </c>
      <c r="C148" s="1" t="s">
        <v>312</v>
      </c>
      <c r="D148" s="1" t="s">
        <v>8</v>
      </c>
      <c r="F148" t="s">
        <v>23</v>
      </c>
      <c r="G148" s="1" t="s">
        <v>217</v>
      </c>
      <c r="H148" s="1" t="s">
        <v>221</v>
      </c>
      <c r="I148" s="1" t="s">
        <v>252</v>
      </c>
    </row>
    <row r="149" spans="1:9" ht="153" x14ac:dyDescent="0.2">
      <c r="A149" t="str">
        <f t="shared" si="2"/>
        <v>148</v>
      </c>
      <c r="B149" s="1" t="s">
        <v>163</v>
      </c>
      <c r="C149" s="1" t="s">
        <v>317</v>
      </c>
      <c r="D149" s="1" t="s">
        <v>5</v>
      </c>
      <c r="F149" t="s">
        <v>23</v>
      </c>
      <c r="G149" s="1" t="s">
        <v>216</v>
      </c>
      <c r="H149" s="1" t="s">
        <v>232</v>
      </c>
      <c r="I149" s="1" t="s">
        <v>295</v>
      </c>
    </row>
    <row r="150" spans="1:9" ht="153" x14ac:dyDescent="0.2">
      <c r="A150" t="s">
        <v>221</v>
      </c>
      <c r="B150" s="1" t="s">
        <v>164</v>
      </c>
      <c r="C150" s="1" t="s">
        <v>312</v>
      </c>
      <c r="D150" s="1" t="s">
        <v>10</v>
      </c>
      <c r="E150" s="1"/>
      <c r="F150" s="1" t="s">
        <v>57</v>
      </c>
      <c r="G150" s="1" t="s">
        <v>10</v>
      </c>
      <c r="H150" s="1" t="s">
        <v>234</v>
      </c>
      <c r="I150" s="1" t="s">
        <v>221</v>
      </c>
    </row>
    <row r="151" spans="1:9" ht="153" x14ac:dyDescent="0.2">
      <c r="A151" t="str">
        <f t="shared" si="2"/>
        <v>150</v>
      </c>
      <c r="B151" s="1" t="s">
        <v>165</v>
      </c>
      <c r="C151" s="1" t="s">
        <v>322</v>
      </c>
      <c r="D151" s="1" t="s">
        <v>10</v>
      </c>
      <c r="F151" t="s">
        <v>23</v>
      </c>
      <c r="G151" s="1" t="s">
        <v>10</v>
      </c>
      <c r="H151" s="1" t="s">
        <v>221</v>
      </c>
      <c r="I151" s="1" t="s">
        <v>221</v>
      </c>
    </row>
    <row r="152" spans="1:9" ht="153" x14ac:dyDescent="0.2">
      <c r="A152" t="str">
        <f t="shared" si="2"/>
        <v>151</v>
      </c>
      <c r="B152" s="1" t="s">
        <v>166</v>
      </c>
      <c r="C152" s="1" t="s">
        <v>317</v>
      </c>
      <c r="D152" s="1" t="s">
        <v>10</v>
      </c>
      <c r="F152" s="2" t="s">
        <v>6</v>
      </c>
      <c r="G152" s="1" t="s">
        <v>10</v>
      </c>
      <c r="H152" s="1" t="s">
        <v>240</v>
      </c>
      <c r="I152" s="1" t="s">
        <v>251</v>
      </c>
    </row>
    <row r="153" spans="1:9" ht="170" x14ac:dyDescent="0.2">
      <c r="A153" t="str">
        <f t="shared" si="2"/>
        <v>152</v>
      </c>
      <c r="B153" s="1" t="s">
        <v>167</v>
      </c>
      <c r="C153" s="1" t="s">
        <v>312</v>
      </c>
      <c r="D153" s="1" t="s">
        <v>214</v>
      </c>
      <c r="E153" s="1"/>
      <c r="F153" s="1" t="s">
        <v>57</v>
      </c>
      <c r="G153" s="1" t="s">
        <v>217</v>
      </c>
      <c r="H153" s="1" t="s">
        <v>221</v>
      </c>
      <c r="I153" s="1" t="s">
        <v>221</v>
      </c>
    </row>
    <row r="154" spans="1:9" ht="136" x14ac:dyDescent="0.2">
      <c r="A154" t="str">
        <f t="shared" si="2"/>
        <v>153</v>
      </c>
      <c r="B154" s="1" t="s">
        <v>168</v>
      </c>
      <c r="C154" s="1" t="s">
        <v>312</v>
      </c>
      <c r="D154" s="1" t="s">
        <v>214</v>
      </c>
      <c r="E154" s="1"/>
      <c r="F154" s="1" t="s">
        <v>23</v>
      </c>
      <c r="G154" s="1" t="s">
        <v>217</v>
      </c>
      <c r="H154" s="1" t="s">
        <v>221</v>
      </c>
      <c r="I154" s="1" t="s">
        <v>249</v>
      </c>
    </row>
    <row r="155" spans="1:9" ht="136" x14ac:dyDescent="0.2">
      <c r="A155" t="str">
        <f t="shared" si="2"/>
        <v>154</v>
      </c>
      <c r="B155" s="1" t="s">
        <v>169</v>
      </c>
      <c r="C155" s="1" t="s">
        <v>317</v>
      </c>
      <c r="D155" s="1" t="s">
        <v>20</v>
      </c>
      <c r="E155" s="1"/>
      <c r="F155" s="1" t="s">
        <v>23</v>
      </c>
      <c r="G155" s="1" t="s">
        <v>217</v>
      </c>
      <c r="H155" s="1" t="s">
        <v>221</v>
      </c>
      <c r="I155" s="1" t="s">
        <v>251</v>
      </c>
    </row>
    <row r="156" spans="1:9" ht="119" x14ac:dyDescent="0.2">
      <c r="A156" t="str">
        <f t="shared" si="2"/>
        <v>155</v>
      </c>
      <c r="B156" s="1" t="s">
        <v>170</v>
      </c>
      <c r="C156" s="1" t="s">
        <v>315</v>
      </c>
      <c r="D156" s="1" t="s">
        <v>8</v>
      </c>
      <c r="E156" s="1"/>
      <c r="F156" s="1" t="s">
        <v>23</v>
      </c>
      <c r="G156" s="1" t="s">
        <v>216</v>
      </c>
      <c r="H156" s="1" t="s">
        <v>232</v>
      </c>
      <c r="I156" s="1" t="s">
        <v>267</v>
      </c>
    </row>
    <row r="157" spans="1:9" ht="136" x14ac:dyDescent="0.2">
      <c r="A157" t="str">
        <f t="shared" si="2"/>
        <v>156</v>
      </c>
      <c r="B157" s="1" t="s">
        <v>171</v>
      </c>
      <c r="C157" s="1" t="s">
        <v>316</v>
      </c>
      <c r="D157" s="1" t="s">
        <v>5</v>
      </c>
      <c r="F157" s="2" t="s">
        <v>6</v>
      </c>
      <c r="G157" s="1" t="s">
        <v>216</v>
      </c>
      <c r="H157" s="1" t="s">
        <v>232</v>
      </c>
      <c r="I157" s="1" t="s">
        <v>273</v>
      </c>
    </row>
    <row r="158" spans="1:9" ht="153" x14ac:dyDescent="0.2">
      <c r="A158" t="str">
        <f t="shared" si="2"/>
        <v>157</v>
      </c>
      <c r="B158" s="1" t="s">
        <v>172</v>
      </c>
      <c r="C158" s="1" t="s">
        <v>315</v>
      </c>
      <c r="D158" s="1" t="s">
        <v>214</v>
      </c>
      <c r="F158" s="2" t="s">
        <v>6</v>
      </c>
      <c r="G158" s="1" t="s">
        <v>217</v>
      </c>
      <c r="H158" s="1" t="s">
        <v>221</v>
      </c>
      <c r="I158" s="1" t="s">
        <v>249</v>
      </c>
    </row>
    <row r="159" spans="1:9" ht="153" x14ac:dyDescent="0.2">
      <c r="A159" t="str">
        <f t="shared" si="2"/>
        <v>158</v>
      </c>
      <c r="B159" s="1" t="s">
        <v>173</v>
      </c>
      <c r="C159" s="1" t="s">
        <v>316</v>
      </c>
      <c r="D159" s="1" t="s">
        <v>214</v>
      </c>
      <c r="F159" t="s">
        <v>23</v>
      </c>
      <c r="G159" s="1" t="s">
        <v>217</v>
      </c>
      <c r="H159" s="1" t="s">
        <v>221</v>
      </c>
      <c r="I159" s="1" t="s">
        <v>249</v>
      </c>
    </row>
    <row r="160" spans="1:9" ht="170" x14ac:dyDescent="0.2">
      <c r="A160" t="str">
        <f t="shared" si="2"/>
        <v>159</v>
      </c>
      <c r="B160" s="1" t="s">
        <v>174</v>
      </c>
      <c r="C160" s="1" t="s">
        <v>315</v>
      </c>
      <c r="D160" s="1" t="s">
        <v>8</v>
      </c>
      <c r="F160" s="2" t="s">
        <v>6</v>
      </c>
      <c r="G160" s="1" t="s">
        <v>217</v>
      </c>
      <c r="H160" s="1" t="s">
        <v>221</v>
      </c>
      <c r="I160" s="1" t="s">
        <v>296</v>
      </c>
    </row>
    <row r="161" spans="1:9" ht="119" x14ac:dyDescent="0.2">
      <c r="A161" t="str">
        <f t="shared" si="2"/>
        <v>160</v>
      </c>
      <c r="B161" s="1" t="s">
        <v>175</v>
      </c>
      <c r="C161" s="1" t="s">
        <v>315</v>
      </c>
      <c r="D161" s="1" t="s">
        <v>10</v>
      </c>
      <c r="F161" t="s">
        <v>23</v>
      </c>
      <c r="G161" s="1" t="s">
        <v>10</v>
      </c>
      <c r="H161" s="1" t="s">
        <v>234</v>
      </c>
      <c r="I161" s="1" t="s">
        <v>248</v>
      </c>
    </row>
    <row r="162" spans="1:9" ht="170" x14ac:dyDescent="0.2">
      <c r="A162" t="str">
        <f t="shared" si="2"/>
        <v>161</v>
      </c>
      <c r="B162" s="1" t="s">
        <v>176</v>
      </c>
      <c r="C162" s="1" t="s">
        <v>323</v>
      </c>
      <c r="D162" s="1" t="s">
        <v>5</v>
      </c>
      <c r="F162" t="s">
        <v>23</v>
      </c>
      <c r="G162" s="1" t="s">
        <v>216</v>
      </c>
      <c r="H162" s="1" t="s">
        <v>238</v>
      </c>
      <c r="I162" s="1" t="s">
        <v>297</v>
      </c>
    </row>
    <row r="163" spans="1:9" ht="170" x14ac:dyDescent="0.2">
      <c r="A163" t="str">
        <f t="shared" si="2"/>
        <v>162</v>
      </c>
      <c r="B163" s="1" t="s">
        <v>177</v>
      </c>
      <c r="C163" s="1" t="s">
        <v>316</v>
      </c>
      <c r="D163" s="1" t="s">
        <v>214</v>
      </c>
      <c r="F163" t="s">
        <v>23</v>
      </c>
      <c r="G163" s="1" t="s">
        <v>217</v>
      </c>
      <c r="H163" s="1" t="s">
        <v>221</v>
      </c>
      <c r="I163" s="1" t="s">
        <v>248</v>
      </c>
    </row>
    <row r="164" spans="1:9" ht="119" x14ac:dyDescent="0.2">
      <c r="A164" t="str">
        <f t="shared" si="2"/>
        <v>163</v>
      </c>
      <c r="B164" s="1" t="s">
        <v>178</v>
      </c>
      <c r="C164" s="1" t="s">
        <v>314</v>
      </c>
      <c r="D164" s="1" t="s">
        <v>10</v>
      </c>
      <c r="F164" s="2" t="s">
        <v>6</v>
      </c>
      <c r="G164" s="1" t="s">
        <v>10</v>
      </c>
      <c r="H164" s="1" t="s">
        <v>234</v>
      </c>
      <c r="I164" s="1" t="s">
        <v>259</v>
      </c>
    </row>
    <row r="165" spans="1:9" ht="170" x14ac:dyDescent="0.2">
      <c r="A165" t="str">
        <f t="shared" si="2"/>
        <v>164</v>
      </c>
      <c r="B165" s="1" t="s">
        <v>179</v>
      </c>
      <c r="C165" s="1" t="s">
        <v>315</v>
      </c>
      <c r="D165" s="1" t="s">
        <v>8</v>
      </c>
      <c r="F165" t="s">
        <v>23</v>
      </c>
      <c r="G165" s="1" t="s">
        <v>217</v>
      </c>
      <c r="H165" s="1" t="s">
        <v>221</v>
      </c>
      <c r="I165" s="1" t="s">
        <v>298</v>
      </c>
    </row>
    <row r="166" spans="1:9" ht="153" x14ac:dyDescent="0.2">
      <c r="A166" t="str">
        <f t="shared" si="2"/>
        <v>165</v>
      </c>
      <c r="B166" s="1" t="s">
        <v>180</v>
      </c>
      <c r="C166" s="1" t="s">
        <v>316</v>
      </c>
      <c r="D166" s="1" t="s">
        <v>5</v>
      </c>
      <c r="F166" t="s">
        <v>23</v>
      </c>
      <c r="G166" s="1" t="s">
        <v>216</v>
      </c>
      <c r="H166" s="1" t="s">
        <v>232</v>
      </c>
      <c r="I166" s="1" t="s">
        <v>299</v>
      </c>
    </row>
    <row r="167" spans="1:9" ht="119" x14ac:dyDescent="0.2">
      <c r="A167" t="str">
        <f t="shared" si="2"/>
        <v>166</v>
      </c>
      <c r="B167" s="1" t="s">
        <v>181</v>
      </c>
      <c r="C167" s="1" t="s">
        <v>323</v>
      </c>
      <c r="D167" s="1" t="s">
        <v>10</v>
      </c>
      <c r="F167" t="s">
        <v>23</v>
      </c>
      <c r="G167" s="1" t="s">
        <v>10</v>
      </c>
      <c r="H167" s="1" t="s">
        <v>234</v>
      </c>
      <c r="I167" s="1" t="s">
        <v>255</v>
      </c>
    </row>
    <row r="168" spans="1:9" ht="119" x14ac:dyDescent="0.2">
      <c r="A168" t="str">
        <f t="shared" si="2"/>
        <v>167</v>
      </c>
      <c r="B168" s="1" t="s">
        <v>182</v>
      </c>
      <c r="C168" s="1" t="s">
        <v>321</v>
      </c>
      <c r="D168" s="1" t="s">
        <v>10</v>
      </c>
      <c r="F168" t="s">
        <v>23</v>
      </c>
      <c r="G168" s="1" t="s">
        <v>10</v>
      </c>
      <c r="H168" s="1" t="s">
        <v>234</v>
      </c>
      <c r="I168" s="1" t="s">
        <v>300</v>
      </c>
    </row>
    <row r="169" spans="1:9" ht="136" x14ac:dyDescent="0.2">
      <c r="A169" t="str">
        <f t="shared" si="2"/>
        <v>168</v>
      </c>
      <c r="B169" s="4" t="s">
        <v>183</v>
      </c>
      <c r="C169" s="1" t="s">
        <v>314</v>
      </c>
      <c r="D169" s="1" t="s">
        <v>214</v>
      </c>
      <c r="E169" s="1" t="s">
        <v>29</v>
      </c>
      <c r="F169" t="s">
        <v>23</v>
      </c>
      <c r="G169" s="1" t="s">
        <v>217</v>
      </c>
      <c r="H169" s="1" t="s">
        <v>221</v>
      </c>
      <c r="I169" s="1" t="s">
        <v>249</v>
      </c>
    </row>
    <row r="170" spans="1:9" ht="136" x14ac:dyDescent="0.2">
      <c r="A170" t="str">
        <f t="shared" si="2"/>
        <v>169</v>
      </c>
      <c r="B170" s="1" t="s">
        <v>184</v>
      </c>
      <c r="C170" s="1" t="s">
        <v>315</v>
      </c>
      <c r="D170" s="1" t="s">
        <v>10</v>
      </c>
      <c r="F170" t="s">
        <v>23</v>
      </c>
      <c r="G170" s="1" t="s">
        <v>10</v>
      </c>
      <c r="H170" s="1" t="s">
        <v>234</v>
      </c>
      <c r="I170" s="1" t="s">
        <v>301</v>
      </c>
    </row>
    <row r="171" spans="1:9" ht="170" x14ac:dyDescent="0.2">
      <c r="A171" t="str">
        <f t="shared" si="2"/>
        <v>170</v>
      </c>
      <c r="B171" s="1" t="s">
        <v>185</v>
      </c>
      <c r="C171" s="1" t="s">
        <v>316</v>
      </c>
      <c r="D171" s="1" t="s">
        <v>214</v>
      </c>
      <c r="F171" t="s">
        <v>23</v>
      </c>
      <c r="G171" s="1" t="s">
        <v>217</v>
      </c>
      <c r="H171" s="1" t="s">
        <v>221</v>
      </c>
      <c r="I171" s="1" t="s">
        <v>249</v>
      </c>
    </row>
    <row r="172" spans="1:9" ht="136" x14ac:dyDescent="0.2">
      <c r="A172" t="str">
        <f t="shared" si="2"/>
        <v>171</v>
      </c>
      <c r="B172" s="1" t="s">
        <v>186</v>
      </c>
      <c r="C172" s="1" t="s">
        <v>316</v>
      </c>
      <c r="D172" s="1" t="s">
        <v>10</v>
      </c>
      <c r="F172" t="s">
        <v>23</v>
      </c>
      <c r="G172" s="1" t="s">
        <v>10</v>
      </c>
      <c r="H172" s="1" t="s">
        <v>234</v>
      </c>
      <c r="I172" s="1" t="s">
        <v>249</v>
      </c>
    </row>
    <row r="173" spans="1:9" ht="119" x14ac:dyDescent="0.2">
      <c r="A173" t="str">
        <f t="shared" si="2"/>
        <v>172</v>
      </c>
      <c r="B173" s="1" t="s">
        <v>187</v>
      </c>
      <c r="C173" s="1" t="s">
        <v>325</v>
      </c>
      <c r="D173" s="1" t="s">
        <v>5</v>
      </c>
      <c r="F173" s="2" t="s">
        <v>6</v>
      </c>
      <c r="G173" s="1" t="s">
        <v>216</v>
      </c>
      <c r="H173" s="1" t="s">
        <v>232</v>
      </c>
      <c r="I173" s="1" t="s">
        <v>271</v>
      </c>
    </row>
    <row r="174" spans="1:9" ht="136" x14ac:dyDescent="0.2">
      <c r="A174" t="str">
        <f t="shared" si="2"/>
        <v>173</v>
      </c>
      <c r="B174" s="1" t="s">
        <v>188</v>
      </c>
      <c r="C174" s="1" t="s">
        <v>316</v>
      </c>
      <c r="D174" s="1" t="s">
        <v>10</v>
      </c>
      <c r="E174" s="1"/>
      <c r="F174" s="1" t="s">
        <v>23</v>
      </c>
      <c r="G174" s="1" t="s">
        <v>218</v>
      </c>
      <c r="H174" s="1" t="s">
        <v>241</v>
      </c>
      <c r="I174" s="1" t="s">
        <v>302</v>
      </c>
    </row>
    <row r="175" spans="1:9" ht="170" x14ac:dyDescent="0.2">
      <c r="A175" t="str">
        <f t="shared" si="2"/>
        <v>174</v>
      </c>
      <c r="B175" s="1" t="s">
        <v>189</v>
      </c>
      <c r="C175" s="1" t="s">
        <v>316</v>
      </c>
      <c r="D175" s="1" t="s">
        <v>214</v>
      </c>
      <c r="F175" t="s">
        <v>23</v>
      </c>
      <c r="G175" s="1" t="s">
        <v>217</v>
      </c>
      <c r="H175" s="1" t="s">
        <v>221</v>
      </c>
      <c r="I175" s="1" t="s">
        <v>249</v>
      </c>
    </row>
    <row r="176" spans="1:9" ht="136" x14ac:dyDescent="0.2">
      <c r="A176" t="str">
        <f t="shared" si="2"/>
        <v>175</v>
      </c>
      <c r="B176" s="1" t="s">
        <v>190</v>
      </c>
      <c r="C176" s="1" t="s">
        <v>314</v>
      </c>
      <c r="D176" s="1" t="s">
        <v>5</v>
      </c>
      <c r="F176" t="s">
        <v>23</v>
      </c>
      <c r="G176" s="1" t="s">
        <v>216</v>
      </c>
      <c r="H176" s="1" t="s">
        <v>232</v>
      </c>
      <c r="I176" s="1" t="s">
        <v>251</v>
      </c>
    </row>
    <row r="177" spans="1:9" ht="170" x14ac:dyDescent="0.2">
      <c r="A177" t="str">
        <f t="shared" si="2"/>
        <v>176</v>
      </c>
      <c r="B177" s="1" t="s">
        <v>191</v>
      </c>
      <c r="C177" s="1" t="s">
        <v>314</v>
      </c>
      <c r="D177" s="1" t="s">
        <v>214</v>
      </c>
      <c r="F177" t="s">
        <v>23</v>
      </c>
      <c r="G177" s="1" t="s">
        <v>217</v>
      </c>
      <c r="H177" s="1" t="s">
        <v>221</v>
      </c>
      <c r="I177" s="1" t="s">
        <v>249</v>
      </c>
    </row>
    <row r="178" spans="1:9" ht="136" x14ac:dyDescent="0.2">
      <c r="A178" t="str">
        <f t="shared" si="2"/>
        <v>177</v>
      </c>
      <c r="B178" s="1" t="s">
        <v>192</v>
      </c>
      <c r="C178" s="1" t="s">
        <v>314</v>
      </c>
      <c r="D178" s="1" t="s">
        <v>193</v>
      </c>
      <c r="F178" t="s">
        <v>213</v>
      </c>
      <c r="G178" s="1" t="s">
        <v>217</v>
      </c>
      <c r="H178" s="1" t="s">
        <v>221</v>
      </c>
      <c r="I178" s="1" t="s">
        <v>261</v>
      </c>
    </row>
    <row r="179" spans="1:9" ht="136" x14ac:dyDescent="0.2">
      <c r="A179" t="str">
        <f t="shared" si="2"/>
        <v>178</v>
      </c>
      <c r="B179" s="1" t="s">
        <v>194</v>
      </c>
      <c r="C179" s="1" t="s">
        <v>325</v>
      </c>
      <c r="D179" s="1" t="s">
        <v>5</v>
      </c>
      <c r="E179" s="1"/>
      <c r="F179" s="1" t="s">
        <v>23</v>
      </c>
      <c r="G179" s="1" t="s">
        <v>216</v>
      </c>
      <c r="H179" t="s">
        <v>235</v>
      </c>
      <c r="I179" s="1" t="s">
        <v>287</v>
      </c>
    </row>
    <row r="180" spans="1:9" ht="170" x14ac:dyDescent="0.2">
      <c r="A180" t="str">
        <f t="shared" si="2"/>
        <v>179</v>
      </c>
      <c r="B180" s="1" t="s">
        <v>195</v>
      </c>
      <c r="C180" s="1" t="s">
        <v>316</v>
      </c>
      <c r="D180" s="1" t="s">
        <v>214</v>
      </c>
      <c r="E180" s="1"/>
      <c r="F180" s="1" t="s">
        <v>23</v>
      </c>
      <c r="G180" s="1" t="s">
        <v>217</v>
      </c>
      <c r="H180" s="1" t="s">
        <v>221</v>
      </c>
      <c r="I180" s="1" t="s">
        <v>249</v>
      </c>
    </row>
    <row r="181" spans="1:9" ht="136" x14ac:dyDescent="0.2">
      <c r="A181" t="str">
        <f t="shared" si="2"/>
        <v>180</v>
      </c>
      <c r="B181" s="1" t="s">
        <v>196</v>
      </c>
      <c r="C181" s="1" t="s">
        <v>325</v>
      </c>
      <c r="D181" s="1" t="s">
        <v>101</v>
      </c>
      <c r="F181" s="2" t="s">
        <v>6</v>
      </c>
      <c r="G181" s="1" t="s">
        <v>216</v>
      </c>
      <c r="H181" s="1" t="s">
        <v>232</v>
      </c>
      <c r="I181" s="1" t="s">
        <v>251</v>
      </c>
    </row>
    <row r="182" spans="1:9" ht="153" x14ac:dyDescent="0.2">
      <c r="A182" t="str">
        <f t="shared" si="2"/>
        <v>181</v>
      </c>
      <c r="B182" s="1" t="s">
        <v>197</v>
      </c>
      <c r="C182" s="1" t="s">
        <v>323</v>
      </c>
      <c r="D182" s="1" t="s">
        <v>214</v>
      </c>
      <c r="F182" t="s">
        <v>23</v>
      </c>
      <c r="G182" s="1" t="s">
        <v>217</v>
      </c>
      <c r="H182" s="1" t="s">
        <v>221</v>
      </c>
      <c r="I182" s="1" t="s">
        <v>249</v>
      </c>
    </row>
    <row r="183" spans="1:9" ht="136" x14ac:dyDescent="0.2">
      <c r="A183" t="str">
        <f t="shared" si="2"/>
        <v>182</v>
      </c>
      <c r="B183" s="1" t="s">
        <v>198</v>
      </c>
      <c r="C183" s="1" t="s">
        <v>321</v>
      </c>
      <c r="D183" s="1" t="s">
        <v>5</v>
      </c>
      <c r="E183" s="1"/>
      <c r="F183" s="1" t="s">
        <v>23</v>
      </c>
      <c r="G183" s="1" t="s">
        <v>216</v>
      </c>
      <c r="H183" s="1" t="s">
        <v>238</v>
      </c>
      <c r="I183" s="1" t="s">
        <v>303</v>
      </c>
    </row>
    <row r="184" spans="1:9" ht="136" x14ac:dyDescent="0.2">
      <c r="A184" t="str">
        <f t="shared" si="2"/>
        <v>183</v>
      </c>
      <c r="B184" s="1" t="s">
        <v>199</v>
      </c>
      <c r="C184" s="1" t="s">
        <v>323</v>
      </c>
      <c r="D184" s="1" t="s">
        <v>5</v>
      </c>
      <c r="E184" s="1"/>
      <c r="F184" s="1" t="s">
        <v>23</v>
      </c>
      <c r="G184" s="1" t="s">
        <v>216</v>
      </c>
      <c r="H184" s="1" t="s">
        <v>232</v>
      </c>
      <c r="I184" s="1" t="s">
        <v>304</v>
      </c>
    </row>
    <row r="185" spans="1:9" ht="170" x14ac:dyDescent="0.2">
      <c r="A185" t="str">
        <f t="shared" si="2"/>
        <v>184</v>
      </c>
      <c r="B185" s="1" t="s">
        <v>200</v>
      </c>
      <c r="C185" s="1" t="s">
        <v>316</v>
      </c>
      <c r="D185" s="1" t="s">
        <v>214</v>
      </c>
      <c r="E185" s="1"/>
      <c r="F185" s="1" t="s">
        <v>23</v>
      </c>
      <c r="G185" s="1" t="s">
        <v>217</v>
      </c>
      <c r="H185" s="1" t="s">
        <v>221</v>
      </c>
      <c r="I185" s="1" t="s">
        <v>249</v>
      </c>
    </row>
    <row r="186" spans="1:9" ht="136" x14ac:dyDescent="0.2">
      <c r="A186" t="str">
        <f t="shared" si="2"/>
        <v>185</v>
      </c>
      <c r="B186" s="1" t="s">
        <v>201</v>
      </c>
      <c r="C186" s="1" t="s">
        <v>323</v>
      </c>
      <c r="D186" s="1" t="s">
        <v>10</v>
      </c>
      <c r="F186" t="s">
        <v>23</v>
      </c>
      <c r="G186" s="1" t="s">
        <v>10</v>
      </c>
      <c r="H186" s="1" t="s">
        <v>234</v>
      </c>
      <c r="I186" s="1" t="s">
        <v>305</v>
      </c>
    </row>
    <row r="187" spans="1:9" ht="119" x14ac:dyDescent="0.2">
      <c r="A187" t="str">
        <f t="shared" si="2"/>
        <v>186</v>
      </c>
      <c r="B187" s="1" t="s">
        <v>202</v>
      </c>
      <c r="C187" s="1" t="s">
        <v>326</v>
      </c>
      <c r="D187" s="1" t="s">
        <v>10</v>
      </c>
      <c r="E187" s="1"/>
      <c r="F187" s="1" t="s">
        <v>23</v>
      </c>
      <c r="G187" s="1" t="s">
        <v>10</v>
      </c>
      <c r="I187" s="1" t="s">
        <v>296</v>
      </c>
    </row>
    <row r="188" spans="1:9" ht="136" x14ac:dyDescent="0.2">
      <c r="A188" t="str">
        <f t="shared" si="2"/>
        <v>187</v>
      </c>
      <c r="B188" s="1" t="s">
        <v>203</v>
      </c>
      <c r="C188" s="1" t="s">
        <v>314</v>
      </c>
      <c r="D188" s="1" t="s">
        <v>26</v>
      </c>
      <c r="E188" s="1"/>
      <c r="F188" s="1" t="s">
        <v>23</v>
      </c>
      <c r="G188" s="1" t="s">
        <v>217</v>
      </c>
      <c r="H188" s="1" t="s">
        <v>221</v>
      </c>
      <c r="I188" s="1" t="s">
        <v>298</v>
      </c>
    </row>
    <row r="189" spans="1:9" ht="153" x14ac:dyDescent="0.2">
      <c r="A189" t="str">
        <f t="shared" si="2"/>
        <v>188</v>
      </c>
      <c r="B189" s="1" t="s">
        <v>204</v>
      </c>
      <c r="C189" s="1" t="s">
        <v>321</v>
      </c>
      <c r="D189" s="1" t="s">
        <v>10</v>
      </c>
      <c r="E189" s="1"/>
      <c r="F189" s="1" t="s">
        <v>23</v>
      </c>
      <c r="G189" s="1" t="s">
        <v>10</v>
      </c>
      <c r="H189" s="1" t="s">
        <v>242</v>
      </c>
      <c r="I189" s="1" t="s">
        <v>259</v>
      </c>
    </row>
    <row r="190" spans="1:9" ht="204" x14ac:dyDescent="0.2">
      <c r="A190" t="str">
        <f t="shared" si="2"/>
        <v>189</v>
      </c>
      <c r="B190" s="1" t="s">
        <v>205</v>
      </c>
      <c r="C190" s="1" t="s">
        <v>318</v>
      </c>
      <c r="D190" s="1" t="s">
        <v>10</v>
      </c>
      <c r="E190" s="1"/>
      <c r="F190" s="1" t="s">
        <v>23</v>
      </c>
      <c r="G190" s="1" t="s">
        <v>218</v>
      </c>
      <c r="H190" s="1" t="s">
        <v>234</v>
      </c>
      <c r="I190" s="1" t="s">
        <v>221</v>
      </c>
    </row>
    <row r="191" spans="1:9" ht="17" x14ac:dyDescent="0.2">
      <c r="A191" t="str">
        <f t="shared" si="2"/>
        <v>190</v>
      </c>
      <c r="B191" s="2" t="s">
        <v>219</v>
      </c>
      <c r="C191">
        <v>2014</v>
      </c>
      <c r="D191" s="1" t="s">
        <v>10</v>
      </c>
      <c r="E191" s="1"/>
      <c r="F191" s="2" t="s">
        <v>6</v>
      </c>
      <c r="G191" s="1" t="s">
        <v>10</v>
      </c>
      <c r="H191" s="1" t="s">
        <v>240</v>
      </c>
      <c r="I191" s="1" t="s">
        <v>221</v>
      </c>
    </row>
    <row r="192" spans="1:9" ht="153" x14ac:dyDescent="0.2">
      <c r="A192" t="str">
        <f t="shared" si="2"/>
        <v>191</v>
      </c>
      <c r="B192" s="1" t="s">
        <v>207</v>
      </c>
      <c r="C192">
        <v>2018</v>
      </c>
      <c r="D192" s="1" t="s">
        <v>214</v>
      </c>
      <c r="E192" t="s">
        <v>29</v>
      </c>
      <c r="F192" s="1" t="s">
        <v>16</v>
      </c>
      <c r="G192" s="1" t="s">
        <v>217</v>
      </c>
      <c r="H192" s="1" t="s">
        <v>221</v>
      </c>
      <c r="I192" s="1" t="s">
        <v>249</v>
      </c>
    </row>
    <row r="193" spans="1:9" ht="136" x14ac:dyDescent="0.2">
      <c r="A193" t="str">
        <f t="shared" si="2"/>
        <v>192</v>
      </c>
      <c r="B193" s="1" t="s">
        <v>206</v>
      </c>
      <c r="C193">
        <v>2024</v>
      </c>
      <c r="D193" s="1" t="s">
        <v>214</v>
      </c>
      <c r="E193" t="s">
        <v>29</v>
      </c>
      <c r="F193" s="1" t="s">
        <v>16</v>
      </c>
      <c r="G193" s="1" t="s">
        <v>217</v>
      </c>
      <c r="H193" s="1" t="s">
        <v>221</v>
      </c>
      <c r="I193" s="1" t="s">
        <v>257</v>
      </c>
    </row>
    <row r="194" spans="1:9" ht="85" x14ac:dyDescent="0.2">
      <c r="A194" t="str">
        <f t="shared" si="2"/>
        <v>193</v>
      </c>
      <c r="B194" s="5" t="s">
        <v>208</v>
      </c>
      <c r="C194">
        <v>2016</v>
      </c>
      <c r="D194" s="1" t="s">
        <v>214</v>
      </c>
      <c r="F194" s="1" t="s">
        <v>16</v>
      </c>
      <c r="G194" s="1" t="s">
        <v>217</v>
      </c>
      <c r="H194" s="1" t="s">
        <v>221</v>
      </c>
      <c r="I194" s="1" t="s">
        <v>249</v>
      </c>
    </row>
    <row r="195" spans="1:9" ht="136" x14ac:dyDescent="0.2">
      <c r="A195" t="str">
        <f t="shared" si="2"/>
        <v>194</v>
      </c>
      <c r="B195" s="1" t="s">
        <v>209</v>
      </c>
      <c r="C195">
        <v>2020</v>
      </c>
      <c r="D195" s="1" t="s">
        <v>214</v>
      </c>
      <c r="F195" s="1" t="s">
        <v>16</v>
      </c>
      <c r="G195" s="1" t="s">
        <v>217</v>
      </c>
      <c r="H195" s="1" t="s">
        <v>221</v>
      </c>
      <c r="I195" s="1" t="s">
        <v>250</v>
      </c>
    </row>
    <row r="196" spans="1:9" ht="153" x14ac:dyDescent="0.2">
      <c r="A196" t="str">
        <f t="shared" ref="A196:A198" si="3">TEXT(ROW()-1,"000")</f>
        <v>195</v>
      </c>
      <c r="B196" s="5" t="s">
        <v>210</v>
      </c>
      <c r="C196">
        <v>2013</v>
      </c>
      <c r="D196" s="1" t="s">
        <v>214</v>
      </c>
      <c r="F196" s="1" t="s">
        <v>16</v>
      </c>
      <c r="G196" s="1" t="s">
        <v>217</v>
      </c>
      <c r="H196" s="1" t="s">
        <v>221</v>
      </c>
      <c r="I196" s="1" t="s">
        <v>249</v>
      </c>
    </row>
    <row r="197" spans="1:9" ht="102" x14ac:dyDescent="0.2">
      <c r="A197" t="str">
        <f t="shared" si="3"/>
        <v>196</v>
      </c>
      <c r="B197" s="1" t="s">
        <v>211</v>
      </c>
      <c r="C197">
        <v>2010</v>
      </c>
      <c r="D197" s="1" t="s">
        <v>214</v>
      </c>
      <c r="F197" s="1" t="s">
        <v>16</v>
      </c>
      <c r="G197" s="1" t="s">
        <v>217</v>
      </c>
      <c r="H197" s="1" t="s">
        <v>221</v>
      </c>
      <c r="I197" s="1" t="s">
        <v>249</v>
      </c>
    </row>
    <row r="198" spans="1:9" ht="102" x14ac:dyDescent="0.2">
      <c r="A198" t="str">
        <f t="shared" si="3"/>
        <v>197</v>
      </c>
      <c r="B198" s="5" t="s">
        <v>212</v>
      </c>
      <c r="C198">
        <v>2016</v>
      </c>
      <c r="D198" s="1" t="s">
        <v>214</v>
      </c>
      <c r="F198" s="1" t="s">
        <v>57</v>
      </c>
      <c r="G198" s="1" t="s">
        <v>217</v>
      </c>
      <c r="H198" s="1" t="s">
        <v>221</v>
      </c>
      <c r="I198" s="1" t="s">
        <v>249</v>
      </c>
    </row>
  </sheetData>
  <autoFilter ref="D1:D198" xr:uid="{54AD3EAD-1A54-B043-A2C3-C6F124A2E88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F00F-1AB0-5F4A-9825-21AF5E1799EA}">
  <dimension ref="A1:O200"/>
  <sheetViews>
    <sheetView topLeftCell="A28" workbookViewId="0">
      <selection activeCell="B29" sqref="B29"/>
    </sheetView>
  </sheetViews>
  <sheetFormatPr baseColWidth="10" defaultRowHeight="16" x14ac:dyDescent="0.2"/>
  <cols>
    <col min="5" max="5" width="12.1640625" customWidth="1"/>
    <col min="6" max="6" width="13.1640625" customWidth="1"/>
    <col min="7" max="7" width="18.1640625" customWidth="1"/>
    <col min="15" max="15" width="21" customWidth="1"/>
  </cols>
  <sheetData>
    <row r="1" spans="1:15" x14ac:dyDescent="0.2">
      <c r="A1" t="s">
        <v>220</v>
      </c>
      <c r="B1" t="s">
        <v>0</v>
      </c>
      <c r="C1" t="s">
        <v>1</v>
      </c>
      <c r="D1" t="s">
        <v>2</v>
      </c>
      <c r="E1" t="s">
        <v>3</v>
      </c>
      <c r="F1" t="s">
        <v>215</v>
      </c>
      <c r="G1" t="s">
        <v>228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  <c r="M1" t="s">
        <v>227</v>
      </c>
      <c r="N1" t="s">
        <v>244</v>
      </c>
      <c r="O1" t="s">
        <v>243</v>
      </c>
    </row>
    <row r="2" spans="1:15" ht="238" x14ac:dyDescent="0.2">
      <c r="A2" t="str">
        <f>TEXT(ROW()-1,"000")</f>
        <v>001</v>
      </c>
      <c r="B2" s="1" t="s">
        <v>4</v>
      </c>
      <c r="C2" s="1" t="s">
        <v>5</v>
      </c>
      <c r="E2" s="2" t="s">
        <v>6</v>
      </c>
      <c r="F2" s="1" t="s">
        <v>216</v>
      </c>
      <c r="G2" t="s">
        <v>229</v>
      </c>
      <c r="H2" s="1">
        <f>--ISNUMBER(SEARCH("Windows",Table2[[#This Row],[platforms]]))</f>
        <v>1</v>
      </c>
      <c r="I2" s="1">
        <f>--ISNUMBER(SEARCH("Android",Table2[[#This Row],[platforms]]))</f>
        <v>0</v>
      </c>
      <c r="J2" s="1">
        <f>--ISNUMBER(SEARCH("Linux",Table2[[#This Row],[platforms]]))</f>
        <v>0</v>
      </c>
      <c r="K2" s="1">
        <f>--ISNUMBER(SEARCH("iOS",Table2[[#This Row],[platforms]]))</f>
        <v>0</v>
      </c>
      <c r="L2" s="1">
        <f>--ISNUMBER(SEARCH("macOS",Table2[[#This Row],[platforms]]))</f>
        <v>1</v>
      </c>
      <c r="M2" s="1">
        <f>--ISNUMBER(SEARCH("Cloud",Table2[[#This Row],[platforms]]))</f>
        <v>0</v>
      </c>
      <c r="N2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  <c r="O2">
        <f>SUM(H2:H198)</f>
        <v>42</v>
      </c>
    </row>
    <row r="3" spans="1:15" ht="238" x14ac:dyDescent="0.2">
      <c r="A3" t="str">
        <f>TEXT(ROW()-1,"000")</f>
        <v>002</v>
      </c>
      <c r="B3" s="1" t="s">
        <v>7</v>
      </c>
      <c r="C3" t="s">
        <v>8</v>
      </c>
      <c r="E3" s="2" t="s">
        <v>6</v>
      </c>
      <c r="F3" s="1" t="s">
        <v>217</v>
      </c>
      <c r="G3" t="s">
        <v>221</v>
      </c>
      <c r="H3" s="1">
        <f>--ISNUMBER(SEARCH("Windows",Table2[[#This Row],[platforms]]))</f>
        <v>0</v>
      </c>
      <c r="I3" s="1">
        <f>--ISNUMBER(SEARCH("Android",Table2[[#This Row],[platforms]]))</f>
        <v>0</v>
      </c>
      <c r="J3" s="1">
        <f>--ISNUMBER(SEARCH("Linux",Table2[[#This Row],[platforms]]))</f>
        <v>0</v>
      </c>
      <c r="K3" s="1">
        <f>--ISNUMBER(SEARCH("iOS",Table2[[#This Row],[platforms]]))</f>
        <v>0</v>
      </c>
      <c r="L3" s="1">
        <f>--ISNUMBER(SEARCH("macOS",Table2[[#This Row],[platforms]]))</f>
        <v>0</v>
      </c>
      <c r="M3" s="1">
        <f>--ISNUMBER(SEARCH("Cloud",Table2[[#This Row],[platforms]]))</f>
        <v>0</v>
      </c>
      <c r="N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  <c r="O3">
        <f>SUM(I2:I198)</f>
        <v>32</v>
      </c>
    </row>
    <row r="4" spans="1:15" ht="289" x14ac:dyDescent="0.2">
      <c r="A4" t="str">
        <f t="shared" ref="A4:A67" si="0">TEXT(ROW()-1,"000")</f>
        <v>003</v>
      </c>
      <c r="B4" s="1" t="s">
        <v>9</v>
      </c>
      <c r="C4" s="1" t="s">
        <v>10</v>
      </c>
      <c r="E4" s="2" t="s">
        <v>6</v>
      </c>
      <c r="F4" s="1" t="s">
        <v>218</v>
      </c>
      <c r="G4" t="s">
        <v>230</v>
      </c>
      <c r="H4" s="1">
        <f>--ISNUMBER(SEARCH("Windows",Table2[[#This Row],[platforms]]))</f>
        <v>1</v>
      </c>
      <c r="I4" s="1">
        <f>--ISNUMBER(SEARCH("Android",Table2[[#This Row],[platforms]]))</f>
        <v>1</v>
      </c>
      <c r="J4" s="1">
        <f>--ISNUMBER(SEARCH("Linux",Table2[[#This Row],[platforms]]))</f>
        <v>0</v>
      </c>
      <c r="K4" s="1">
        <f>--ISNUMBER(SEARCH("iOS",Table2[[#This Row],[platforms]]))</f>
        <v>1</v>
      </c>
      <c r="L4" s="1">
        <f>--ISNUMBER(SEARCH("macOS",Table2[[#This Row],[platforms]]))</f>
        <v>0</v>
      </c>
      <c r="M4" s="1">
        <f>--ISNUMBER(SEARCH("Cloud",Table2[[#This Row],[platforms]]))</f>
        <v>0</v>
      </c>
      <c r="N4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  <c r="O4">
        <f>SUM(J2:J198)</f>
        <v>24</v>
      </c>
    </row>
    <row r="5" spans="1:15" ht="222" x14ac:dyDescent="0.25">
      <c r="A5" t="str">
        <f t="shared" si="0"/>
        <v>004</v>
      </c>
      <c r="B5" s="1" t="s">
        <v>11</v>
      </c>
      <c r="C5" s="1" t="s">
        <v>5</v>
      </c>
      <c r="E5" s="2" t="s">
        <v>6</v>
      </c>
      <c r="F5" s="1" t="s">
        <v>216</v>
      </c>
      <c r="G5" s="1" t="s">
        <v>229</v>
      </c>
      <c r="H5" s="1">
        <f>--ISNUMBER(SEARCH("Windows",Table2[[#This Row],[platforms]]))</f>
        <v>1</v>
      </c>
      <c r="I5" s="1">
        <f>--ISNUMBER(SEARCH("Android",Table2[[#This Row],[platforms]]))</f>
        <v>0</v>
      </c>
      <c r="J5" s="1">
        <f>--ISNUMBER(SEARCH("Linux",Table2[[#This Row],[platforms]]))</f>
        <v>0</v>
      </c>
      <c r="K5" s="1">
        <f>--ISNUMBER(SEARCH("iOS",Table2[[#This Row],[platforms]]))</f>
        <v>0</v>
      </c>
      <c r="L5" s="1">
        <f>--ISNUMBER(SEARCH("macOS",Table2[[#This Row],[platforms]]))</f>
        <v>1</v>
      </c>
      <c r="M5" s="1">
        <f>--ISNUMBER(SEARCH("Cloud",Table2[[#This Row],[platforms]]))</f>
        <v>0</v>
      </c>
      <c r="N5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  <c r="O5" s="6">
        <f>SUM(K2:K198)</f>
        <v>6</v>
      </c>
    </row>
    <row r="6" spans="1:15" ht="238" x14ac:dyDescent="0.2">
      <c r="A6" t="str">
        <f t="shared" si="0"/>
        <v>005</v>
      </c>
      <c r="B6" s="1" t="s">
        <v>12</v>
      </c>
      <c r="C6" s="1" t="s">
        <v>5</v>
      </c>
      <c r="E6" s="2" t="s">
        <v>6</v>
      </c>
      <c r="F6" s="1" t="s">
        <v>216</v>
      </c>
      <c r="G6" s="2" t="s">
        <v>229</v>
      </c>
      <c r="H6" s="1">
        <f>--ISNUMBER(SEARCH("Windows",Table2[[#This Row],[platforms]]))</f>
        <v>1</v>
      </c>
      <c r="I6" s="1">
        <f>--ISNUMBER(SEARCH("Android",Table2[[#This Row],[platforms]]))</f>
        <v>0</v>
      </c>
      <c r="J6" s="1">
        <f>--ISNUMBER(SEARCH("Linux",Table2[[#This Row],[platforms]]))</f>
        <v>0</v>
      </c>
      <c r="K6" s="1">
        <f>--ISNUMBER(SEARCH("iOS",Table2[[#This Row],[platforms]]))</f>
        <v>0</v>
      </c>
      <c r="L6" s="1">
        <f>--ISNUMBER(SEARCH("macOS",Table2[[#This Row],[platforms]]))</f>
        <v>1</v>
      </c>
      <c r="M6" s="1">
        <f>--ISNUMBER(SEARCH("Cloud",Table2[[#This Row],[platforms]]))</f>
        <v>0</v>
      </c>
      <c r="N6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  <c r="O6">
        <f>SUM(L2:L198)</f>
        <v>6</v>
      </c>
    </row>
    <row r="7" spans="1:15" ht="323" x14ac:dyDescent="0.2">
      <c r="A7" t="str">
        <f t="shared" si="0"/>
        <v>006</v>
      </c>
      <c r="B7" s="1" t="s">
        <v>13</v>
      </c>
      <c r="C7" s="1" t="s">
        <v>10</v>
      </c>
      <c r="E7" s="2" t="s">
        <v>6</v>
      </c>
      <c r="F7" s="1" t="s">
        <v>218</v>
      </c>
      <c r="G7" t="s">
        <v>231</v>
      </c>
      <c r="H7" s="1">
        <f>--ISNUMBER(SEARCH("Windows",Table2[[#This Row],[platforms]]))</f>
        <v>1</v>
      </c>
      <c r="I7" s="1">
        <f>--ISNUMBER(SEARCH("Android",Table2[[#This Row],[platforms]]))</f>
        <v>1</v>
      </c>
      <c r="J7" s="1">
        <f>--ISNUMBER(SEARCH("Linux",Table2[[#This Row],[platforms]]))</f>
        <v>0</v>
      </c>
      <c r="K7" s="1">
        <f>--ISNUMBER(SEARCH("iOS",Table2[[#This Row],[platforms]]))</f>
        <v>1</v>
      </c>
      <c r="L7" s="1">
        <f>--ISNUMBER(SEARCH("macOS",Table2[[#This Row],[platforms]]))</f>
        <v>0</v>
      </c>
      <c r="M7" s="1">
        <f>--ISNUMBER(SEARCH("Cloud",Table2[[#This Row],[platforms]]))</f>
        <v>1</v>
      </c>
      <c r="N7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  <c r="O7">
        <f>SUM(N2:N198)</f>
        <v>114</v>
      </c>
    </row>
    <row r="8" spans="1:15" ht="170" x14ac:dyDescent="0.2">
      <c r="A8" t="str">
        <f t="shared" si="0"/>
        <v>007</v>
      </c>
      <c r="B8" s="1" t="s">
        <v>14</v>
      </c>
      <c r="C8" s="1" t="s">
        <v>5</v>
      </c>
      <c r="E8" s="2" t="s">
        <v>6</v>
      </c>
      <c r="F8" s="1" t="s">
        <v>216</v>
      </c>
      <c r="G8" s="1" t="s">
        <v>232</v>
      </c>
      <c r="H8" s="1">
        <f>--ISNUMBER(SEARCH("Windows",Table2[[#This Row],[platforms]]))</f>
        <v>1</v>
      </c>
      <c r="I8" s="1">
        <f>--ISNUMBER(SEARCH("Android",Table2[[#This Row],[platforms]]))</f>
        <v>0</v>
      </c>
      <c r="J8" s="1">
        <f>--ISNUMBER(SEARCH("Linux",Table2[[#This Row],[platforms]]))</f>
        <v>0</v>
      </c>
      <c r="K8" s="1">
        <f>--ISNUMBER(SEARCH("iOS",Table2[[#This Row],[platforms]]))</f>
        <v>0</v>
      </c>
      <c r="L8" s="1">
        <f>--ISNUMBER(SEARCH("macOS",Table2[[#This Row],[platforms]]))</f>
        <v>0</v>
      </c>
      <c r="M8" s="1">
        <f>--ISNUMBER(SEARCH("Cloud",Table2[[#This Row],[platforms]]))</f>
        <v>0</v>
      </c>
      <c r="N8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9" spans="1:15" ht="204" x14ac:dyDescent="0.2">
      <c r="A9" t="str">
        <f t="shared" si="0"/>
        <v>008</v>
      </c>
      <c r="B9" s="1" t="s">
        <v>15</v>
      </c>
      <c r="C9" s="1" t="s">
        <v>5</v>
      </c>
      <c r="E9" t="s">
        <v>16</v>
      </c>
      <c r="F9" s="1" t="s">
        <v>216</v>
      </c>
      <c r="G9" s="2" t="s">
        <v>232</v>
      </c>
      <c r="H9" s="1">
        <f>--ISNUMBER(SEARCH("Windows",Table2[[#This Row],[platforms]]))</f>
        <v>1</v>
      </c>
      <c r="I9" s="1">
        <f>--ISNUMBER(SEARCH("Android",Table2[[#This Row],[platforms]]))</f>
        <v>0</v>
      </c>
      <c r="J9" s="1">
        <f>--ISNUMBER(SEARCH("Linux",Table2[[#This Row],[platforms]]))</f>
        <v>0</v>
      </c>
      <c r="K9" s="1">
        <f>--ISNUMBER(SEARCH("iOS",Table2[[#This Row],[platforms]]))</f>
        <v>0</v>
      </c>
      <c r="L9" s="1">
        <f>--ISNUMBER(SEARCH("macOS",Table2[[#This Row],[platforms]]))</f>
        <v>0</v>
      </c>
      <c r="M9" s="1">
        <f>--ISNUMBER(SEARCH("Cloud",Table2[[#This Row],[platforms]]))</f>
        <v>0</v>
      </c>
      <c r="N9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0" spans="1:15" ht="238" x14ac:dyDescent="0.2">
      <c r="A10" t="str">
        <f t="shared" si="0"/>
        <v>009</v>
      </c>
      <c r="B10" s="1" t="s">
        <v>17</v>
      </c>
      <c r="C10" s="1" t="s">
        <v>5</v>
      </c>
      <c r="E10" t="s">
        <v>16</v>
      </c>
      <c r="F10" s="1" t="s">
        <v>216</v>
      </c>
      <c r="G10" s="2" t="s">
        <v>232</v>
      </c>
      <c r="H10" s="1">
        <f>--ISNUMBER(SEARCH("Windows",Table2[[#This Row],[platforms]]))</f>
        <v>1</v>
      </c>
      <c r="I10" s="1">
        <f>--ISNUMBER(SEARCH("Android",Table2[[#This Row],[platforms]]))</f>
        <v>0</v>
      </c>
      <c r="J10" s="1">
        <f>--ISNUMBER(SEARCH("Linux",Table2[[#This Row],[platforms]]))</f>
        <v>0</v>
      </c>
      <c r="K10" s="1">
        <f>--ISNUMBER(SEARCH("iOS",Table2[[#This Row],[platforms]]))</f>
        <v>0</v>
      </c>
      <c r="L10" s="1">
        <f>--ISNUMBER(SEARCH("macOS",Table2[[#This Row],[platforms]]))</f>
        <v>0</v>
      </c>
      <c r="M10" s="1">
        <f>--ISNUMBER(SEARCH("Cloud",Table2[[#This Row],[platforms]]))</f>
        <v>0</v>
      </c>
      <c r="N10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1" spans="1:15" ht="221" x14ac:dyDescent="0.2">
      <c r="A11" t="str">
        <f t="shared" si="0"/>
        <v>010</v>
      </c>
      <c r="B11" s="1" t="s">
        <v>18</v>
      </c>
      <c r="C11" s="1" t="s">
        <v>31</v>
      </c>
      <c r="E11" t="s">
        <v>16</v>
      </c>
      <c r="F11" s="1" t="s">
        <v>216</v>
      </c>
      <c r="G11" t="s">
        <v>235</v>
      </c>
      <c r="H11" s="1">
        <f>--ISNUMBER(SEARCH("Windows",Table2[[#This Row],[platforms]]))</f>
        <v>1</v>
      </c>
      <c r="I11" s="1">
        <f>--ISNUMBER(SEARCH("Android",Table2[[#This Row],[platforms]]))</f>
        <v>0</v>
      </c>
      <c r="J11" s="1">
        <f>--ISNUMBER(SEARCH("Linux",Table2[[#This Row],[platforms]]))</f>
        <v>1</v>
      </c>
      <c r="K11" s="1">
        <f>--ISNUMBER(SEARCH("iOS",Table2[[#This Row],[platforms]]))</f>
        <v>0</v>
      </c>
      <c r="L11" s="1">
        <f>--ISNUMBER(SEARCH("macOS",Table2[[#This Row],[platforms]]))</f>
        <v>0</v>
      </c>
      <c r="M11" s="1">
        <f>--ISNUMBER(SEARCH("Cloud",Table2[[#This Row],[platforms]]))</f>
        <v>0</v>
      </c>
      <c r="N11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2" spans="1:15" ht="187" x14ac:dyDescent="0.2">
      <c r="A12" t="str">
        <f t="shared" si="0"/>
        <v>011</v>
      </c>
      <c r="B12" s="1" t="s">
        <v>19</v>
      </c>
      <c r="C12" s="1" t="s">
        <v>20</v>
      </c>
      <c r="E12" t="s">
        <v>16</v>
      </c>
      <c r="F12" s="1" t="s">
        <v>217</v>
      </c>
      <c r="G12" s="1" t="s">
        <v>221</v>
      </c>
      <c r="H12" s="1">
        <f>--ISNUMBER(SEARCH("Windows",Table2[[#This Row],[platforms]]))</f>
        <v>0</v>
      </c>
      <c r="I12" s="1">
        <f>--ISNUMBER(SEARCH("Android",Table2[[#This Row],[platforms]]))</f>
        <v>0</v>
      </c>
      <c r="J12" s="1">
        <f>--ISNUMBER(SEARCH("Linux",Table2[[#This Row],[platforms]]))</f>
        <v>0</v>
      </c>
      <c r="K12" s="1">
        <f>--ISNUMBER(SEARCH("iOS",Table2[[#This Row],[platforms]]))</f>
        <v>0</v>
      </c>
      <c r="L12" s="1">
        <f>--ISNUMBER(SEARCH("macOS",Table2[[#This Row],[platforms]]))</f>
        <v>0</v>
      </c>
      <c r="M12" s="1">
        <f>--ISNUMBER(SEARCH("Cloud",Table2[[#This Row],[platforms]]))</f>
        <v>0</v>
      </c>
      <c r="N1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3" spans="1:15" ht="388" x14ac:dyDescent="0.2">
      <c r="A13" t="str">
        <f t="shared" si="0"/>
        <v>012</v>
      </c>
      <c r="B13" s="1" t="s">
        <v>21</v>
      </c>
      <c r="C13" s="1" t="s">
        <v>214</v>
      </c>
      <c r="E13" t="s">
        <v>16</v>
      </c>
      <c r="F13" s="1" t="s">
        <v>217</v>
      </c>
      <c r="G13" s="1" t="s">
        <v>221</v>
      </c>
      <c r="H13" s="1">
        <f>--ISNUMBER(SEARCH("Windows",Table2[[#This Row],[platforms]]))</f>
        <v>0</v>
      </c>
      <c r="I13" s="1">
        <f>--ISNUMBER(SEARCH("Android",Table2[[#This Row],[platforms]]))</f>
        <v>0</v>
      </c>
      <c r="J13" s="1">
        <f>--ISNUMBER(SEARCH("Linux",Table2[[#This Row],[platforms]]))</f>
        <v>0</v>
      </c>
      <c r="K13" s="1">
        <f>--ISNUMBER(SEARCH("iOS",Table2[[#This Row],[platforms]]))</f>
        <v>0</v>
      </c>
      <c r="L13" s="1">
        <f>--ISNUMBER(SEARCH("macOS",Table2[[#This Row],[platforms]]))</f>
        <v>0</v>
      </c>
      <c r="M13" s="1">
        <f>--ISNUMBER(SEARCH("Cloud",Table2[[#This Row],[platforms]]))</f>
        <v>0</v>
      </c>
      <c r="N1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4" spans="1:15" ht="170" x14ac:dyDescent="0.2">
      <c r="A14" t="str">
        <f t="shared" si="0"/>
        <v>013</v>
      </c>
      <c r="B14" s="1" t="s">
        <v>22</v>
      </c>
      <c r="C14" s="1" t="s">
        <v>8</v>
      </c>
      <c r="E14" t="s">
        <v>23</v>
      </c>
      <c r="F14" s="1" t="s">
        <v>217</v>
      </c>
      <c r="G14" s="1" t="s">
        <v>221</v>
      </c>
      <c r="H14" s="1">
        <f>--ISNUMBER(SEARCH("Windows",Table2[[#This Row],[platforms]]))</f>
        <v>0</v>
      </c>
      <c r="I14" s="1">
        <f>--ISNUMBER(SEARCH("Android",Table2[[#This Row],[platforms]]))</f>
        <v>0</v>
      </c>
      <c r="J14" s="1">
        <f>--ISNUMBER(SEARCH("Linux",Table2[[#This Row],[platforms]]))</f>
        <v>0</v>
      </c>
      <c r="K14" s="1">
        <f>--ISNUMBER(SEARCH("iOS",Table2[[#This Row],[platforms]]))</f>
        <v>0</v>
      </c>
      <c r="L14" s="1">
        <f>--ISNUMBER(SEARCH("macOS",Table2[[#This Row],[platforms]]))</f>
        <v>0</v>
      </c>
      <c r="M14" s="1">
        <f>--ISNUMBER(SEARCH("Cloud",Table2[[#This Row],[platforms]]))</f>
        <v>0</v>
      </c>
      <c r="N14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5" spans="1:15" ht="255" x14ac:dyDescent="0.2">
      <c r="A15" t="str">
        <f t="shared" si="0"/>
        <v>014</v>
      </c>
      <c r="B15" s="1" t="s">
        <v>24</v>
      </c>
      <c r="C15" s="1" t="s">
        <v>10</v>
      </c>
      <c r="E15" t="s">
        <v>23</v>
      </c>
      <c r="F15" s="1" t="s">
        <v>10</v>
      </c>
      <c r="G15" s="1" t="s">
        <v>234</v>
      </c>
      <c r="H15" s="1">
        <f>--ISNUMBER(SEARCH("Windows",Table2[[#This Row],[platforms]]))</f>
        <v>0</v>
      </c>
      <c r="I15" s="1">
        <f>--ISNUMBER(SEARCH("Android",Table2[[#This Row],[platforms]]))</f>
        <v>1</v>
      </c>
      <c r="J15" s="1">
        <f>--ISNUMBER(SEARCH("Linux",Table2[[#This Row],[platforms]]))</f>
        <v>0</v>
      </c>
      <c r="K15" s="1">
        <f>--ISNUMBER(SEARCH("iOS",Table2[[#This Row],[platforms]]))</f>
        <v>0</v>
      </c>
      <c r="L15" s="1">
        <f>--ISNUMBER(SEARCH("macOS",Table2[[#This Row],[platforms]]))</f>
        <v>0</v>
      </c>
      <c r="M15" s="1">
        <f>--ISNUMBER(SEARCH("Cloud",Table2[[#This Row],[platforms]]))</f>
        <v>0</v>
      </c>
      <c r="N15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6" spans="1:15" ht="204" x14ac:dyDescent="0.2">
      <c r="A16" t="str">
        <f t="shared" si="0"/>
        <v>015</v>
      </c>
      <c r="B16" s="1" t="s">
        <v>25</v>
      </c>
      <c r="C16" s="1" t="s">
        <v>26</v>
      </c>
      <c r="E16" s="2" t="s">
        <v>23</v>
      </c>
      <c r="F16" s="1" t="s">
        <v>217</v>
      </c>
      <c r="G16" s="1" t="s">
        <v>221</v>
      </c>
      <c r="H16" s="1">
        <f>--ISNUMBER(SEARCH("Windows",Table2[[#This Row],[platforms]]))</f>
        <v>0</v>
      </c>
      <c r="I16" s="1">
        <f>--ISNUMBER(SEARCH("Android",Table2[[#This Row],[platforms]]))</f>
        <v>0</v>
      </c>
      <c r="J16" s="1">
        <f>--ISNUMBER(SEARCH("Linux",Table2[[#This Row],[platforms]]))</f>
        <v>0</v>
      </c>
      <c r="K16" s="1">
        <f>--ISNUMBER(SEARCH("iOS",Table2[[#This Row],[platforms]]))</f>
        <v>0</v>
      </c>
      <c r="L16" s="1">
        <f>--ISNUMBER(SEARCH("macOS",Table2[[#This Row],[platforms]]))</f>
        <v>0</v>
      </c>
      <c r="M16" s="1">
        <f>--ISNUMBER(SEARCH("Cloud",Table2[[#This Row],[platforms]]))</f>
        <v>0</v>
      </c>
      <c r="N16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7" spans="1:14" ht="204" x14ac:dyDescent="0.2">
      <c r="A17" t="str">
        <f t="shared" si="0"/>
        <v>016</v>
      </c>
      <c r="B17" s="1" t="s">
        <v>27</v>
      </c>
      <c r="C17" s="1" t="s">
        <v>5</v>
      </c>
      <c r="E17" t="s">
        <v>213</v>
      </c>
      <c r="F17" s="1" t="s">
        <v>216</v>
      </c>
      <c r="G17" s="1" t="s">
        <v>232</v>
      </c>
      <c r="H17" s="1">
        <f>--ISNUMBER(SEARCH("Windows",Table2[[#This Row],[platforms]]))</f>
        <v>1</v>
      </c>
      <c r="I17" s="1">
        <f>--ISNUMBER(SEARCH("Android",Table2[[#This Row],[platforms]]))</f>
        <v>0</v>
      </c>
      <c r="J17" s="1">
        <f>--ISNUMBER(SEARCH("Linux",Table2[[#This Row],[platforms]]))</f>
        <v>0</v>
      </c>
      <c r="K17" s="1">
        <f>--ISNUMBER(SEARCH("iOS",Table2[[#This Row],[platforms]]))</f>
        <v>0</v>
      </c>
      <c r="L17" s="1">
        <f>--ISNUMBER(SEARCH("macOS",Table2[[#This Row],[platforms]]))</f>
        <v>0</v>
      </c>
      <c r="M17" s="1">
        <f>--ISNUMBER(SEARCH("Cloud",Table2[[#This Row],[platforms]]))</f>
        <v>0</v>
      </c>
      <c r="N17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8" spans="1:14" ht="272" x14ac:dyDescent="0.2">
      <c r="A18" t="str">
        <f t="shared" si="0"/>
        <v>017</v>
      </c>
      <c r="B18" s="1" t="s">
        <v>28</v>
      </c>
      <c r="C18" s="1" t="s">
        <v>10</v>
      </c>
      <c r="D18" t="s">
        <v>29</v>
      </c>
      <c r="E18" s="2" t="s">
        <v>23</v>
      </c>
      <c r="F18" s="1" t="s">
        <v>10</v>
      </c>
      <c r="G18" s="1" t="s">
        <v>234</v>
      </c>
      <c r="H18" s="1">
        <f>--ISNUMBER(SEARCH("Windows",Table2[[#This Row],[platforms]]))</f>
        <v>0</v>
      </c>
      <c r="I18" s="1">
        <f>--ISNUMBER(SEARCH("Android",Table2[[#This Row],[platforms]]))</f>
        <v>1</v>
      </c>
      <c r="J18" s="1">
        <f>--ISNUMBER(SEARCH("Linux",Table2[[#This Row],[platforms]]))</f>
        <v>0</v>
      </c>
      <c r="K18" s="1">
        <f>--ISNUMBER(SEARCH("iOS",Table2[[#This Row],[platforms]]))</f>
        <v>0</v>
      </c>
      <c r="L18" s="1">
        <f>--ISNUMBER(SEARCH("macOS",Table2[[#This Row],[platforms]]))</f>
        <v>0</v>
      </c>
      <c r="M18" s="1">
        <f>--ISNUMBER(SEARCH("Cloud",Table2[[#This Row],[platforms]]))</f>
        <v>0</v>
      </c>
      <c r="N18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9" spans="1:14" ht="306" x14ac:dyDescent="0.2">
      <c r="A19" t="str">
        <f t="shared" si="0"/>
        <v>018</v>
      </c>
      <c r="B19" s="1" t="s">
        <v>30</v>
      </c>
      <c r="C19" s="1" t="s">
        <v>31</v>
      </c>
      <c r="E19" t="s">
        <v>23</v>
      </c>
      <c r="F19" s="1" t="s">
        <v>217</v>
      </c>
      <c r="G19" s="1" t="s">
        <v>235</v>
      </c>
      <c r="H19" s="1">
        <f>--ISNUMBER(SEARCH("Windows",Table2[[#This Row],[platforms]]))</f>
        <v>1</v>
      </c>
      <c r="I19" s="1">
        <f>--ISNUMBER(SEARCH("Android",Table2[[#This Row],[platforms]]))</f>
        <v>0</v>
      </c>
      <c r="J19" s="1">
        <f>--ISNUMBER(SEARCH("Linux",Table2[[#This Row],[platforms]]))</f>
        <v>1</v>
      </c>
      <c r="K19" s="1">
        <f>--ISNUMBER(SEARCH("iOS",Table2[[#This Row],[platforms]]))</f>
        <v>0</v>
      </c>
      <c r="L19" s="1">
        <f>--ISNUMBER(SEARCH("macOS",Table2[[#This Row],[platforms]]))</f>
        <v>0</v>
      </c>
      <c r="M19" s="1">
        <f>--ISNUMBER(SEARCH("Cloud",Table2[[#This Row],[platforms]]))</f>
        <v>0</v>
      </c>
      <c r="N19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20" spans="1:14" ht="255" x14ac:dyDescent="0.2">
      <c r="A20" t="str">
        <f t="shared" si="0"/>
        <v>019</v>
      </c>
      <c r="B20" s="1" t="s">
        <v>32</v>
      </c>
      <c r="C20" s="1" t="s">
        <v>8</v>
      </c>
      <c r="D20" t="s">
        <v>8</v>
      </c>
      <c r="E20" s="2" t="s">
        <v>23</v>
      </c>
      <c r="F20" s="1" t="s">
        <v>217</v>
      </c>
      <c r="G20" s="1" t="s">
        <v>221</v>
      </c>
      <c r="H20" s="1">
        <f>--ISNUMBER(SEARCH("Windows",Table2[[#This Row],[platforms]]))</f>
        <v>0</v>
      </c>
      <c r="I20" s="1">
        <f>--ISNUMBER(SEARCH("Android",Table2[[#This Row],[platforms]]))</f>
        <v>0</v>
      </c>
      <c r="J20" s="1">
        <f>--ISNUMBER(SEARCH("Linux",Table2[[#This Row],[platforms]]))</f>
        <v>0</v>
      </c>
      <c r="K20" s="1">
        <f>--ISNUMBER(SEARCH("iOS",Table2[[#This Row],[platforms]]))</f>
        <v>0</v>
      </c>
      <c r="L20" s="1">
        <f>--ISNUMBER(SEARCH("macOS",Table2[[#This Row],[platforms]]))</f>
        <v>0</v>
      </c>
      <c r="M20" s="1">
        <f>--ISNUMBER(SEARCH("Cloud",Table2[[#This Row],[platforms]]))</f>
        <v>0</v>
      </c>
      <c r="N20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21" spans="1:14" ht="187" x14ac:dyDescent="0.2">
      <c r="A21" t="str">
        <f t="shared" si="0"/>
        <v>020</v>
      </c>
      <c r="B21" s="1" t="s">
        <v>33</v>
      </c>
      <c r="C21" s="1" t="s">
        <v>214</v>
      </c>
      <c r="D21" s="1" t="s">
        <v>29</v>
      </c>
      <c r="E21" s="2" t="s">
        <v>23</v>
      </c>
      <c r="F21" s="1" t="s">
        <v>217</v>
      </c>
      <c r="G21" s="1" t="s">
        <v>221</v>
      </c>
      <c r="H21" s="1">
        <f>--ISNUMBER(SEARCH("Windows",Table2[[#This Row],[platforms]]))</f>
        <v>0</v>
      </c>
      <c r="I21" s="1">
        <f>--ISNUMBER(SEARCH("Android",Table2[[#This Row],[platforms]]))</f>
        <v>0</v>
      </c>
      <c r="J21" s="1">
        <f>--ISNUMBER(SEARCH("Linux",Table2[[#This Row],[platforms]]))</f>
        <v>0</v>
      </c>
      <c r="K21" s="1">
        <f>--ISNUMBER(SEARCH("iOS",Table2[[#This Row],[platforms]]))</f>
        <v>0</v>
      </c>
      <c r="L21" s="1">
        <f>--ISNUMBER(SEARCH("macOS",Table2[[#This Row],[platforms]]))</f>
        <v>0</v>
      </c>
      <c r="M21" s="1">
        <f>--ISNUMBER(SEARCH("Cloud",Table2[[#This Row],[platforms]]))</f>
        <v>0</v>
      </c>
      <c r="N21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22" spans="1:14" ht="289" x14ac:dyDescent="0.2">
      <c r="A22" t="str">
        <f t="shared" si="0"/>
        <v>021</v>
      </c>
      <c r="B22" s="1" t="s">
        <v>34</v>
      </c>
      <c r="C22" s="1" t="s">
        <v>214</v>
      </c>
      <c r="D22" s="1" t="s">
        <v>29</v>
      </c>
      <c r="E22" s="2" t="s">
        <v>23</v>
      </c>
      <c r="F22" s="1" t="s">
        <v>217</v>
      </c>
      <c r="G22" s="1" t="s">
        <v>221</v>
      </c>
      <c r="H22" s="1">
        <f>--ISNUMBER(SEARCH("Windows",Table2[[#This Row],[platforms]]))</f>
        <v>0</v>
      </c>
      <c r="I22" s="1">
        <f>--ISNUMBER(SEARCH("Android",Table2[[#This Row],[platforms]]))</f>
        <v>0</v>
      </c>
      <c r="J22" s="1">
        <f>--ISNUMBER(SEARCH("Linux",Table2[[#This Row],[platforms]]))</f>
        <v>0</v>
      </c>
      <c r="K22" s="1">
        <f>--ISNUMBER(SEARCH("iOS",Table2[[#This Row],[platforms]]))</f>
        <v>0</v>
      </c>
      <c r="L22" s="1">
        <f>--ISNUMBER(SEARCH("macOS",Table2[[#This Row],[platforms]]))</f>
        <v>0</v>
      </c>
      <c r="M22" s="1">
        <f>--ISNUMBER(SEARCH("Cloud",Table2[[#This Row],[platforms]]))</f>
        <v>0</v>
      </c>
      <c r="N2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23" spans="1:14" ht="272" x14ac:dyDescent="0.2">
      <c r="A23" t="str">
        <f t="shared" si="0"/>
        <v>022</v>
      </c>
      <c r="B23" s="1" t="s">
        <v>35</v>
      </c>
      <c r="C23" s="1" t="s">
        <v>10</v>
      </c>
      <c r="D23" s="1"/>
      <c r="E23" s="2" t="s">
        <v>23</v>
      </c>
      <c r="F23" s="1" t="s">
        <v>218</v>
      </c>
      <c r="G23" s="1" t="s">
        <v>236</v>
      </c>
      <c r="H23" s="1">
        <f>--ISNUMBER(SEARCH("Windows",Table2[[#This Row],[platforms]]))</f>
        <v>0</v>
      </c>
      <c r="I23" s="1">
        <f>--ISNUMBER(SEARCH("Android",Table2[[#This Row],[platforms]]))</f>
        <v>1</v>
      </c>
      <c r="J23" s="1">
        <f>--ISNUMBER(SEARCH("Linux",Table2[[#This Row],[platforms]]))</f>
        <v>0</v>
      </c>
      <c r="K23" s="1">
        <f>--ISNUMBER(SEARCH("iOS",Table2[[#This Row],[platforms]]))</f>
        <v>1</v>
      </c>
      <c r="L23" s="1">
        <f>--ISNUMBER(SEARCH("macOS",Table2[[#This Row],[platforms]]))</f>
        <v>0</v>
      </c>
      <c r="M23" s="1">
        <f>--ISNUMBER(SEARCH("Cloud",Table2[[#This Row],[platforms]]))</f>
        <v>0</v>
      </c>
      <c r="N23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24" spans="1:14" ht="153" x14ac:dyDescent="0.2">
      <c r="A24" t="str">
        <f t="shared" si="0"/>
        <v>023</v>
      </c>
      <c r="B24" s="1" t="s">
        <v>36</v>
      </c>
      <c r="C24" s="1" t="s">
        <v>5</v>
      </c>
      <c r="E24" s="2" t="s">
        <v>23</v>
      </c>
      <c r="F24" s="1" t="s">
        <v>216</v>
      </c>
      <c r="G24" s="1" t="s">
        <v>232</v>
      </c>
      <c r="H24" s="1">
        <f>--ISNUMBER(SEARCH("Windows",Table2[[#This Row],[platforms]]))</f>
        <v>1</v>
      </c>
      <c r="I24" s="1">
        <f>--ISNUMBER(SEARCH("Android",Table2[[#This Row],[platforms]]))</f>
        <v>0</v>
      </c>
      <c r="J24" s="1">
        <f>--ISNUMBER(SEARCH("Linux",Table2[[#This Row],[platforms]]))</f>
        <v>0</v>
      </c>
      <c r="K24" s="1">
        <f>--ISNUMBER(SEARCH("iOS",Table2[[#This Row],[platforms]]))</f>
        <v>0</v>
      </c>
      <c r="L24" s="1">
        <f>--ISNUMBER(SEARCH("macOS",Table2[[#This Row],[platforms]]))</f>
        <v>0</v>
      </c>
      <c r="M24" s="1">
        <f>--ISNUMBER(SEARCH("Cloud",Table2[[#This Row],[platforms]]))</f>
        <v>0</v>
      </c>
      <c r="N24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25" spans="1:14" ht="255" x14ac:dyDescent="0.2">
      <c r="A25" t="str">
        <f t="shared" si="0"/>
        <v>024</v>
      </c>
      <c r="B25" s="1" t="s">
        <v>37</v>
      </c>
      <c r="C25" s="1" t="s">
        <v>10</v>
      </c>
      <c r="E25" s="2" t="s">
        <v>23</v>
      </c>
      <c r="F25" s="1" t="s">
        <v>10</v>
      </c>
      <c r="G25" s="1" t="s">
        <v>234</v>
      </c>
      <c r="H25" s="1">
        <f>--ISNUMBER(SEARCH("Windows",Table2[[#This Row],[platforms]]))</f>
        <v>0</v>
      </c>
      <c r="I25" s="1">
        <f>--ISNUMBER(SEARCH("Android",Table2[[#This Row],[platforms]]))</f>
        <v>1</v>
      </c>
      <c r="J25" s="1">
        <f>--ISNUMBER(SEARCH("Linux",Table2[[#This Row],[platforms]]))</f>
        <v>0</v>
      </c>
      <c r="K25" s="1">
        <f>--ISNUMBER(SEARCH("iOS",Table2[[#This Row],[platforms]]))</f>
        <v>0</v>
      </c>
      <c r="L25" s="1">
        <f>--ISNUMBER(SEARCH("macOS",Table2[[#This Row],[platforms]]))</f>
        <v>0</v>
      </c>
      <c r="M25" s="1">
        <f>--ISNUMBER(SEARCH("Cloud",Table2[[#This Row],[platforms]]))</f>
        <v>0</v>
      </c>
      <c r="N25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26" spans="1:14" ht="204" x14ac:dyDescent="0.2">
      <c r="A26" t="str">
        <f t="shared" si="0"/>
        <v>025</v>
      </c>
      <c r="B26" s="1" t="s">
        <v>38</v>
      </c>
      <c r="C26" s="1" t="s">
        <v>214</v>
      </c>
      <c r="E26" s="2" t="s">
        <v>23</v>
      </c>
      <c r="F26" s="1" t="s">
        <v>217</v>
      </c>
      <c r="G26" t="s">
        <v>221</v>
      </c>
      <c r="H26" s="1">
        <f>--ISNUMBER(SEARCH("Windows",Table2[[#This Row],[platforms]]))</f>
        <v>0</v>
      </c>
      <c r="I26" s="1">
        <f>--ISNUMBER(SEARCH("Android",Table2[[#This Row],[platforms]]))</f>
        <v>0</v>
      </c>
      <c r="J26" s="1">
        <f>--ISNUMBER(SEARCH("Linux",Table2[[#This Row],[platforms]]))</f>
        <v>0</v>
      </c>
      <c r="K26" s="1">
        <f>--ISNUMBER(SEARCH("iOS",Table2[[#This Row],[platforms]]))</f>
        <v>0</v>
      </c>
      <c r="L26" s="1">
        <f>--ISNUMBER(SEARCH("macOS",Table2[[#This Row],[platforms]]))</f>
        <v>0</v>
      </c>
      <c r="M26" s="1">
        <f>--ISNUMBER(SEARCH("Cloud",Table2[[#This Row],[platforms]]))</f>
        <v>0</v>
      </c>
      <c r="N26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27" spans="1:14" ht="221" x14ac:dyDescent="0.2">
      <c r="A27" t="str">
        <f t="shared" si="0"/>
        <v>026</v>
      </c>
      <c r="B27" s="1" t="s">
        <v>39</v>
      </c>
      <c r="C27" s="1" t="s">
        <v>5</v>
      </c>
      <c r="E27" s="2" t="s">
        <v>23</v>
      </c>
      <c r="F27" s="1" t="s">
        <v>216</v>
      </c>
      <c r="G27" t="s">
        <v>237</v>
      </c>
      <c r="H27" s="1">
        <f>--ISNUMBER(SEARCH("Windows",Table2[[#This Row],[platforms]]))</f>
        <v>1</v>
      </c>
      <c r="I27" s="1">
        <f>--ISNUMBER(SEARCH("Android",Table2[[#This Row],[platforms]]))</f>
        <v>0</v>
      </c>
      <c r="J27" s="1">
        <f>--ISNUMBER(SEARCH("Linux",Table2[[#This Row],[platforms]]))</f>
        <v>1</v>
      </c>
      <c r="K27" s="1">
        <f>--ISNUMBER(SEARCH("iOS",Table2[[#This Row],[platforms]]))</f>
        <v>0</v>
      </c>
      <c r="L27" s="1">
        <f>--ISNUMBER(SEARCH("macOS",Table2[[#This Row],[platforms]]))</f>
        <v>1</v>
      </c>
      <c r="M27" s="1">
        <f>--ISNUMBER(SEARCH("Cloud",Table2[[#This Row],[platforms]]))</f>
        <v>0</v>
      </c>
      <c r="N27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28" spans="1:14" ht="221" x14ac:dyDescent="0.2">
      <c r="A28" t="str">
        <f t="shared" si="0"/>
        <v>027</v>
      </c>
      <c r="B28" s="1" t="s">
        <v>40</v>
      </c>
      <c r="C28" s="1" t="s">
        <v>214</v>
      </c>
      <c r="D28" s="1" t="s">
        <v>29</v>
      </c>
      <c r="E28" s="2" t="s">
        <v>23</v>
      </c>
      <c r="F28" s="1" t="s">
        <v>217</v>
      </c>
      <c r="H28" s="1">
        <f>--ISNUMBER(SEARCH("Windows",Table2[[#This Row],[platforms]]))</f>
        <v>0</v>
      </c>
      <c r="I28" s="1">
        <f>--ISNUMBER(SEARCH("Android",Table2[[#This Row],[platforms]]))</f>
        <v>0</v>
      </c>
      <c r="J28" s="1">
        <f>--ISNUMBER(SEARCH("Linux",Table2[[#This Row],[platforms]]))</f>
        <v>0</v>
      </c>
      <c r="K28" s="1">
        <f>--ISNUMBER(SEARCH("iOS",Table2[[#This Row],[platforms]]))</f>
        <v>0</v>
      </c>
      <c r="L28" s="1">
        <f>--ISNUMBER(SEARCH("macOS",Table2[[#This Row],[platforms]]))</f>
        <v>0</v>
      </c>
      <c r="M28" s="1">
        <f>--ISNUMBER(SEARCH("Cloud",Table2[[#This Row],[platforms]]))</f>
        <v>0</v>
      </c>
      <c r="N28" s="1" t="str">
        <f>IF(Table2[[#This Row],[platforms]]="","",--OR(Table2[[#This Row],[platforms]]="N/A",ISNUMBER(SEARCH("not specified",LOWER(Table2[[#This Row],[platforms]]))),ISNUMBER(SEARCH("unspecified",LOWER(Table2[[#This Row],[platforms]])))))</f>
        <v/>
      </c>
    </row>
    <row r="29" spans="1:14" ht="221" x14ac:dyDescent="0.2">
      <c r="A29" t="str">
        <f t="shared" si="0"/>
        <v>028</v>
      </c>
      <c r="B29" s="1" t="s">
        <v>41</v>
      </c>
      <c r="C29" s="1" t="s">
        <v>214</v>
      </c>
      <c r="D29" s="1" t="s">
        <v>29</v>
      </c>
      <c r="E29" s="2" t="s">
        <v>23</v>
      </c>
      <c r="F29" s="1" t="s">
        <v>217</v>
      </c>
      <c r="G29" s="1" t="s">
        <v>221</v>
      </c>
      <c r="H29" s="1">
        <f>--ISNUMBER(SEARCH("Windows",Table2[[#This Row],[platforms]]))</f>
        <v>0</v>
      </c>
      <c r="I29" s="1">
        <f>--ISNUMBER(SEARCH("Android",Table2[[#This Row],[platforms]]))</f>
        <v>0</v>
      </c>
      <c r="J29" s="1">
        <f>--ISNUMBER(SEARCH("Linux",Table2[[#This Row],[platforms]]))</f>
        <v>0</v>
      </c>
      <c r="K29" s="1">
        <f>--ISNUMBER(SEARCH("iOS",Table2[[#This Row],[platforms]]))</f>
        <v>0</v>
      </c>
      <c r="L29" s="1">
        <f>--ISNUMBER(SEARCH("macOS",Table2[[#This Row],[platforms]]))</f>
        <v>0</v>
      </c>
      <c r="M29" s="1">
        <f>--ISNUMBER(SEARCH("Cloud",Table2[[#This Row],[platforms]]))</f>
        <v>0</v>
      </c>
      <c r="N29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30" spans="1:14" ht="187" x14ac:dyDescent="0.2">
      <c r="A30" t="str">
        <f t="shared" si="0"/>
        <v>029</v>
      </c>
      <c r="B30" s="1" t="s">
        <v>42</v>
      </c>
      <c r="C30" s="1" t="s">
        <v>10</v>
      </c>
      <c r="E30" s="2" t="s">
        <v>23</v>
      </c>
      <c r="F30" s="1" t="s">
        <v>10</v>
      </c>
      <c r="G30" s="1" t="s">
        <v>234</v>
      </c>
      <c r="H30" s="1">
        <f>--ISNUMBER(SEARCH("Windows",Table2[[#This Row],[platforms]]))</f>
        <v>0</v>
      </c>
      <c r="I30" s="1">
        <f>--ISNUMBER(SEARCH("Android",Table2[[#This Row],[platforms]]))</f>
        <v>1</v>
      </c>
      <c r="J30" s="1">
        <f>--ISNUMBER(SEARCH("Linux",Table2[[#This Row],[platforms]]))</f>
        <v>0</v>
      </c>
      <c r="K30" s="1">
        <f>--ISNUMBER(SEARCH("iOS",Table2[[#This Row],[platforms]]))</f>
        <v>0</v>
      </c>
      <c r="L30" s="1">
        <f>--ISNUMBER(SEARCH("macOS",Table2[[#This Row],[platforms]]))</f>
        <v>0</v>
      </c>
      <c r="M30" s="1">
        <f>--ISNUMBER(SEARCH("Cloud",Table2[[#This Row],[platforms]]))</f>
        <v>0</v>
      </c>
      <c r="N30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31" spans="1:14" ht="306" x14ac:dyDescent="0.2">
      <c r="A31" t="str">
        <f t="shared" si="0"/>
        <v>030</v>
      </c>
      <c r="B31" s="1" t="s">
        <v>43</v>
      </c>
      <c r="C31" s="1" t="s">
        <v>5</v>
      </c>
      <c r="E31" s="2" t="s">
        <v>23</v>
      </c>
      <c r="F31" s="1" t="s">
        <v>216</v>
      </c>
      <c r="G31" s="1" t="s">
        <v>238</v>
      </c>
      <c r="H31" s="1">
        <f>--ISNUMBER(SEARCH("Windows",Table2[[#This Row],[platforms]]))</f>
        <v>0</v>
      </c>
      <c r="I31" s="1">
        <f>--ISNUMBER(SEARCH("Android",Table2[[#This Row],[platforms]]))</f>
        <v>0</v>
      </c>
      <c r="J31" s="1">
        <f>--ISNUMBER(SEARCH("Linux",Table2[[#This Row],[platforms]]))</f>
        <v>1</v>
      </c>
      <c r="K31" s="1">
        <f>--ISNUMBER(SEARCH("iOS",Table2[[#This Row],[platforms]]))</f>
        <v>0</v>
      </c>
      <c r="L31" s="1">
        <f>--ISNUMBER(SEARCH("macOS",Table2[[#This Row],[platforms]]))</f>
        <v>0</v>
      </c>
      <c r="M31" s="1">
        <f>--ISNUMBER(SEARCH("Cloud",Table2[[#This Row],[platforms]]))</f>
        <v>0</v>
      </c>
      <c r="N31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32" spans="1:14" ht="289" x14ac:dyDescent="0.2">
      <c r="A32" t="str">
        <f t="shared" si="0"/>
        <v>031</v>
      </c>
      <c r="B32" s="1" t="s">
        <v>44</v>
      </c>
      <c r="C32" s="1" t="s">
        <v>214</v>
      </c>
      <c r="D32" s="1" t="s">
        <v>29</v>
      </c>
      <c r="E32" s="2" t="s">
        <v>23</v>
      </c>
      <c r="F32" s="1" t="s">
        <v>217</v>
      </c>
      <c r="G32" s="1" t="s">
        <v>221</v>
      </c>
      <c r="H32" s="1">
        <f>--ISNUMBER(SEARCH("Windows",Table2[[#This Row],[platforms]]))</f>
        <v>0</v>
      </c>
      <c r="I32" s="1">
        <f>--ISNUMBER(SEARCH("Android",Table2[[#This Row],[platforms]]))</f>
        <v>0</v>
      </c>
      <c r="J32" s="1">
        <f>--ISNUMBER(SEARCH("Linux",Table2[[#This Row],[platforms]]))</f>
        <v>0</v>
      </c>
      <c r="K32" s="1">
        <f>--ISNUMBER(SEARCH("iOS",Table2[[#This Row],[platforms]]))</f>
        <v>0</v>
      </c>
      <c r="L32" s="1">
        <f>--ISNUMBER(SEARCH("macOS",Table2[[#This Row],[platforms]]))</f>
        <v>0</v>
      </c>
      <c r="M32" s="1">
        <f>--ISNUMBER(SEARCH("Cloud",Table2[[#This Row],[platforms]]))</f>
        <v>0</v>
      </c>
      <c r="N3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33" spans="1:14" ht="170" x14ac:dyDescent="0.2">
      <c r="A33" t="str">
        <f t="shared" si="0"/>
        <v>032</v>
      </c>
      <c r="B33" s="1" t="s">
        <v>45</v>
      </c>
      <c r="C33" s="1" t="s">
        <v>8</v>
      </c>
      <c r="E33" s="2" t="s">
        <v>23</v>
      </c>
      <c r="F33" s="1" t="s">
        <v>216</v>
      </c>
      <c r="G33" s="1" t="s">
        <v>232</v>
      </c>
      <c r="H33" s="1">
        <f>--ISNUMBER(SEARCH("Windows",Table2[[#This Row],[platforms]]))</f>
        <v>1</v>
      </c>
      <c r="I33" s="1">
        <f>--ISNUMBER(SEARCH("Android",Table2[[#This Row],[platforms]]))</f>
        <v>0</v>
      </c>
      <c r="J33" s="1">
        <f>--ISNUMBER(SEARCH("Linux",Table2[[#This Row],[platforms]]))</f>
        <v>0</v>
      </c>
      <c r="K33" s="1">
        <f>--ISNUMBER(SEARCH("iOS",Table2[[#This Row],[platforms]]))</f>
        <v>0</v>
      </c>
      <c r="L33" s="1">
        <f>--ISNUMBER(SEARCH("macOS",Table2[[#This Row],[platforms]]))</f>
        <v>0</v>
      </c>
      <c r="M33" s="1">
        <f>--ISNUMBER(SEARCH("Cloud",Table2[[#This Row],[platforms]]))</f>
        <v>0</v>
      </c>
      <c r="N33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34" spans="1:14" ht="255" x14ac:dyDescent="0.2">
      <c r="A34" t="str">
        <f t="shared" si="0"/>
        <v>033</v>
      </c>
      <c r="B34" s="1" t="s">
        <v>46</v>
      </c>
      <c r="C34" s="1" t="s">
        <v>8</v>
      </c>
      <c r="E34" t="s">
        <v>213</v>
      </c>
      <c r="F34" s="1" t="s">
        <v>217</v>
      </c>
      <c r="G34" s="1" t="s">
        <v>221</v>
      </c>
      <c r="H34" s="1">
        <f>--ISNUMBER(SEARCH("Windows",Table2[[#This Row],[platforms]]))</f>
        <v>0</v>
      </c>
      <c r="I34" s="1">
        <f>--ISNUMBER(SEARCH("Android",Table2[[#This Row],[platforms]]))</f>
        <v>0</v>
      </c>
      <c r="J34" s="1">
        <f>--ISNUMBER(SEARCH("Linux",Table2[[#This Row],[platforms]]))</f>
        <v>0</v>
      </c>
      <c r="K34" s="1">
        <f>--ISNUMBER(SEARCH("iOS",Table2[[#This Row],[platforms]]))</f>
        <v>0</v>
      </c>
      <c r="L34" s="1">
        <f>--ISNUMBER(SEARCH("macOS",Table2[[#This Row],[platforms]]))</f>
        <v>0</v>
      </c>
      <c r="M34" s="1">
        <f>--ISNUMBER(SEARCH("Cloud",Table2[[#This Row],[platforms]]))</f>
        <v>0</v>
      </c>
      <c r="N34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35" spans="1:14" ht="272" x14ac:dyDescent="0.2">
      <c r="A35" t="str">
        <f t="shared" si="0"/>
        <v>034</v>
      </c>
      <c r="B35" s="1" t="s">
        <v>47</v>
      </c>
      <c r="C35" s="1" t="s">
        <v>214</v>
      </c>
      <c r="E35" s="2" t="s">
        <v>23</v>
      </c>
      <c r="F35" s="1" t="s">
        <v>217</v>
      </c>
      <c r="G35" s="1" t="s">
        <v>238</v>
      </c>
      <c r="H35" s="1">
        <f>--ISNUMBER(SEARCH("Windows",Table2[[#This Row],[platforms]]))</f>
        <v>0</v>
      </c>
      <c r="I35" s="1">
        <f>--ISNUMBER(SEARCH("Android",Table2[[#This Row],[platforms]]))</f>
        <v>0</v>
      </c>
      <c r="J35" s="1">
        <f>--ISNUMBER(SEARCH("Linux",Table2[[#This Row],[platforms]]))</f>
        <v>1</v>
      </c>
      <c r="K35" s="1">
        <f>--ISNUMBER(SEARCH("iOS",Table2[[#This Row],[platforms]]))</f>
        <v>0</v>
      </c>
      <c r="L35" s="1">
        <f>--ISNUMBER(SEARCH("macOS",Table2[[#This Row],[platforms]]))</f>
        <v>0</v>
      </c>
      <c r="M35" s="1">
        <f>--ISNUMBER(SEARCH("Cloud",Table2[[#This Row],[platforms]]))</f>
        <v>0</v>
      </c>
      <c r="N35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36" spans="1:14" ht="255" x14ac:dyDescent="0.2">
      <c r="A36" t="str">
        <f t="shared" si="0"/>
        <v>035</v>
      </c>
      <c r="B36" s="1" t="s">
        <v>48</v>
      </c>
      <c r="C36" s="1" t="s">
        <v>5</v>
      </c>
      <c r="E36" s="2" t="s">
        <v>23</v>
      </c>
      <c r="F36" s="1" t="s">
        <v>216</v>
      </c>
      <c r="G36" s="1" t="s">
        <v>238</v>
      </c>
      <c r="H36" s="1">
        <f>--ISNUMBER(SEARCH("Windows",Table2[[#This Row],[platforms]]))</f>
        <v>0</v>
      </c>
      <c r="I36" s="1">
        <f>--ISNUMBER(SEARCH("Android",Table2[[#This Row],[platforms]]))</f>
        <v>0</v>
      </c>
      <c r="J36" s="1">
        <f>--ISNUMBER(SEARCH("Linux",Table2[[#This Row],[platforms]]))</f>
        <v>1</v>
      </c>
      <c r="K36" s="1">
        <f>--ISNUMBER(SEARCH("iOS",Table2[[#This Row],[platforms]]))</f>
        <v>0</v>
      </c>
      <c r="L36" s="1">
        <f>--ISNUMBER(SEARCH("macOS",Table2[[#This Row],[platforms]]))</f>
        <v>0</v>
      </c>
      <c r="M36" s="1">
        <f>--ISNUMBER(SEARCH("Cloud",Table2[[#This Row],[platforms]]))</f>
        <v>0</v>
      </c>
      <c r="N36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37" spans="1:14" ht="323" x14ac:dyDescent="0.2">
      <c r="A37" t="str">
        <f t="shared" si="0"/>
        <v>036</v>
      </c>
      <c r="B37" s="1" t="s">
        <v>49</v>
      </c>
      <c r="C37" s="1" t="s">
        <v>214</v>
      </c>
      <c r="D37" s="1" t="s">
        <v>29</v>
      </c>
      <c r="E37" s="2" t="s">
        <v>23</v>
      </c>
      <c r="F37" s="1" t="s">
        <v>217</v>
      </c>
      <c r="G37" s="1" t="s">
        <v>221</v>
      </c>
      <c r="H37" s="1">
        <f>--ISNUMBER(SEARCH("Windows",Table2[[#This Row],[platforms]]))</f>
        <v>0</v>
      </c>
      <c r="I37" s="1">
        <f>--ISNUMBER(SEARCH("Android",Table2[[#This Row],[platforms]]))</f>
        <v>0</v>
      </c>
      <c r="J37" s="1">
        <f>--ISNUMBER(SEARCH("Linux",Table2[[#This Row],[platforms]]))</f>
        <v>0</v>
      </c>
      <c r="K37" s="1">
        <f>--ISNUMBER(SEARCH("iOS",Table2[[#This Row],[platforms]]))</f>
        <v>0</v>
      </c>
      <c r="L37" s="1">
        <f>--ISNUMBER(SEARCH("macOS",Table2[[#This Row],[platforms]]))</f>
        <v>0</v>
      </c>
      <c r="M37" s="1">
        <f>--ISNUMBER(SEARCH("Cloud",Table2[[#This Row],[platforms]]))</f>
        <v>0</v>
      </c>
      <c r="N37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38" spans="1:14" ht="221" x14ac:dyDescent="0.2">
      <c r="A38" t="str">
        <f t="shared" si="0"/>
        <v>037</v>
      </c>
      <c r="B38" s="1" t="s">
        <v>50</v>
      </c>
      <c r="C38" s="1" t="s">
        <v>214</v>
      </c>
      <c r="E38" s="2" t="s">
        <v>23</v>
      </c>
      <c r="F38" s="1" t="s">
        <v>217</v>
      </c>
      <c r="G38" s="1" t="s">
        <v>221</v>
      </c>
      <c r="H38" s="1">
        <f>--ISNUMBER(SEARCH("Windows",Table2[[#This Row],[platforms]]))</f>
        <v>0</v>
      </c>
      <c r="I38" s="1">
        <f>--ISNUMBER(SEARCH("Android",Table2[[#This Row],[platforms]]))</f>
        <v>0</v>
      </c>
      <c r="J38" s="1">
        <f>--ISNUMBER(SEARCH("Linux",Table2[[#This Row],[platforms]]))</f>
        <v>0</v>
      </c>
      <c r="K38" s="1">
        <f>--ISNUMBER(SEARCH("iOS",Table2[[#This Row],[platforms]]))</f>
        <v>0</v>
      </c>
      <c r="L38" s="1">
        <f>--ISNUMBER(SEARCH("macOS",Table2[[#This Row],[platforms]]))</f>
        <v>0</v>
      </c>
      <c r="M38" s="1">
        <f>--ISNUMBER(SEARCH("Cloud",Table2[[#This Row],[platforms]]))</f>
        <v>0</v>
      </c>
      <c r="N3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39" spans="1:14" ht="255" x14ac:dyDescent="0.2">
      <c r="A39" t="str">
        <f t="shared" si="0"/>
        <v>038</v>
      </c>
      <c r="B39" s="1" t="s">
        <v>51</v>
      </c>
      <c r="C39" s="1" t="s">
        <v>214</v>
      </c>
      <c r="D39" s="1" t="s">
        <v>29</v>
      </c>
      <c r="E39" s="2" t="s">
        <v>23</v>
      </c>
      <c r="F39" s="1" t="s">
        <v>217</v>
      </c>
      <c r="G39" s="1" t="s">
        <v>221</v>
      </c>
      <c r="H39" s="1">
        <f>--ISNUMBER(SEARCH("Windows",Table2[[#This Row],[platforms]]))</f>
        <v>0</v>
      </c>
      <c r="I39" s="1">
        <f>--ISNUMBER(SEARCH("Android",Table2[[#This Row],[platforms]]))</f>
        <v>0</v>
      </c>
      <c r="J39" s="1">
        <f>--ISNUMBER(SEARCH("Linux",Table2[[#This Row],[platforms]]))</f>
        <v>0</v>
      </c>
      <c r="K39" s="1">
        <f>--ISNUMBER(SEARCH("iOS",Table2[[#This Row],[platforms]]))</f>
        <v>0</v>
      </c>
      <c r="L39" s="1">
        <f>--ISNUMBER(SEARCH("macOS",Table2[[#This Row],[platforms]]))</f>
        <v>0</v>
      </c>
      <c r="M39" s="1">
        <f>--ISNUMBER(SEARCH("Cloud",Table2[[#This Row],[platforms]]))</f>
        <v>0</v>
      </c>
      <c r="N39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40" spans="1:14" ht="238" x14ac:dyDescent="0.2">
      <c r="A40" t="str">
        <f t="shared" si="0"/>
        <v>039</v>
      </c>
      <c r="B40" s="1" t="s">
        <v>52</v>
      </c>
      <c r="C40" s="1" t="s">
        <v>214</v>
      </c>
      <c r="E40" s="2" t="s">
        <v>23</v>
      </c>
      <c r="F40" s="1" t="s">
        <v>217</v>
      </c>
      <c r="G40" s="1" t="s">
        <v>221</v>
      </c>
      <c r="H40" s="1">
        <f>--ISNUMBER(SEARCH("Windows",Table2[[#This Row],[platforms]]))</f>
        <v>0</v>
      </c>
      <c r="I40" s="1">
        <f>--ISNUMBER(SEARCH("Android",Table2[[#This Row],[platforms]]))</f>
        <v>0</v>
      </c>
      <c r="J40" s="1">
        <f>--ISNUMBER(SEARCH("Linux",Table2[[#This Row],[platforms]]))</f>
        <v>0</v>
      </c>
      <c r="K40" s="1">
        <f>--ISNUMBER(SEARCH("iOS",Table2[[#This Row],[platforms]]))</f>
        <v>0</v>
      </c>
      <c r="L40" s="1">
        <f>--ISNUMBER(SEARCH("macOS",Table2[[#This Row],[platforms]]))</f>
        <v>0</v>
      </c>
      <c r="M40" s="1">
        <f>--ISNUMBER(SEARCH("Cloud",Table2[[#This Row],[platforms]]))</f>
        <v>0</v>
      </c>
      <c r="N40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41" spans="1:14" ht="204" x14ac:dyDescent="0.2">
      <c r="A41" t="str">
        <f t="shared" si="0"/>
        <v>040</v>
      </c>
      <c r="B41" s="1" t="s">
        <v>53</v>
      </c>
      <c r="C41" s="1" t="s">
        <v>214</v>
      </c>
      <c r="E41" s="2" t="s">
        <v>23</v>
      </c>
      <c r="F41" s="1" t="s">
        <v>217</v>
      </c>
      <c r="G41" s="1" t="s">
        <v>221</v>
      </c>
      <c r="H41" s="1">
        <f>--ISNUMBER(SEARCH("Windows",Table2[[#This Row],[platforms]]))</f>
        <v>0</v>
      </c>
      <c r="I41" s="1">
        <f>--ISNUMBER(SEARCH("Android",Table2[[#This Row],[platforms]]))</f>
        <v>0</v>
      </c>
      <c r="J41" s="1">
        <f>--ISNUMBER(SEARCH("Linux",Table2[[#This Row],[platforms]]))</f>
        <v>0</v>
      </c>
      <c r="K41" s="1">
        <f>--ISNUMBER(SEARCH("iOS",Table2[[#This Row],[platforms]]))</f>
        <v>0</v>
      </c>
      <c r="L41" s="1">
        <f>--ISNUMBER(SEARCH("macOS",Table2[[#This Row],[platforms]]))</f>
        <v>0</v>
      </c>
      <c r="M41" s="1">
        <f>--ISNUMBER(SEARCH("Cloud",Table2[[#This Row],[platforms]]))</f>
        <v>0</v>
      </c>
      <c r="N41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42" spans="1:14" ht="221" x14ac:dyDescent="0.2">
      <c r="A42" t="str">
        <f t="shared" si="0"/>
        <v>041</v>
      </c>
      <c r="B42" s="1" t="s">
        <v>54</v>
      </c>
      <c r="C42" s="1" t="s">
        <v>20</v>
      </c>
      <c r="E42" s="2" t="s">
        <v>23</v>
      </c>
      <c r="F42" s="1" t="s">
        <v>217</v>
      </c>
      <c r="G42" s="1" t="s">
        <v>221</v>
      </c>
      <c r="H42" s="1">
        <f>--ISNUMBER(SEARCH("Windows",Table2[[#This Row],[platforms]]))</f>
        <v>0</v>
      </c>
      <c r="I42" s="1">
        <f>--ISNUMBER(SEARCH("Android",Table2[[#This Row],[platforms]]))</f>
        <v>0</v>
      </c>
      <c r="J42" s="1">
        <f>--ISNUMBER(SEARCH("Linux",Table2[[#This Row],[platforms]]))</f>
        <v>0</v>
      </c>
      <c r="K42" s="1">
        <f>--ISNUMBER(SEARCH("iOS",Table2[[#This Row],[platforms]]))</f>
        <v>0</v>
      </c>
      <c r="L42" s="1">
        <f>--ISNUMBER(SEARCH("macOS",Table2[[#This Row],[platforms]]))</f>
        <v>0</v>
      </c>
      <c r="M42" s="1">
        <f>--ISNUMBER(SEARCH("Cloud",Table2[[#This Row],[platforms]]))</f>
        <v>0</v>
      </c>
      <c r="N4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43" spans="1:14" ht="204" x14ac:dyDescent="0.2">
      <c r="A43" t="str">
        <f t="shared" si="0"/>
        <v>042</v>
      </c>
      <c r="B43" s="1" t="s">
        <v>55</v>
      </c>
      <c r="C43" s="1" t="s">
        <v>214</v>
      </c>
      <c r="D43" s="1" t="s">
        <v>29</v>
      </c>
      <c r="E43" s="2" t="s">
        <v>23</v>
      </c>
      <c r="F43" s="1" t="s">
        <v>217</v>
      </c>
      <c r="G43" s="1" t="s">
        <v>221</v>
      </c>
      <c r="H43" s="1">
        <f>--ISNUMBER(SEARCH("Windows",Table2[[#This Row],[platforms]]))</f>
        <v>0</v>
      </c>
      <c r="I43" s="1">
        <f>--ISNUMBER(SEARCH("Android",Table2[[#This Row],[platforms]]))</f>
        <v>0</v>
      </c>
      <c r="J43" s="1">
        <f>--ISNUMBER(SEARCH("Linux",Table2[[#This Row],[platforms]]))</f>
        <v>0</v>
      </c>
      <c r="K43" s="1">
        <f>--ISNUMBER(SEARCH("iOS",Table2[[#This Row],[platforms]]))</f>
        <v>0</v>
      </c>
      <c r="L43" s="1">
        <f>--ISNUMBER(SEARCH("macOS",Table2[[#This Row],[platforms]]))</f>
        <v>0</v>
      </c>
      <c r="M43" s="1">
        <f>--ISNUMBER(SEARCH("Cloud",Table2[[#This Row],[platforms]]))</f>
        <v>0</v>
      </c>
      <c r="N4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44" spans="1:14" ht="272" x14ac:dyDescent="0.2">
      <c r="A44" t="str">
        <f t="shared" si="0"/>
        <v>043</v>
      </c>
      <c r="B44" s="1" t="s">
        <v>56</v>
      </c>
      <c r="C44" s="1" t="s">
        <v>214</v>
      </c>
      <c r="D44" s="1" t="s">
        <v>29</v>
      </c>
      <c r="E44" s="2" t="s">
        <v>57</v>
      </c>
      <c r="F44" s="1" t="s">
        <v>217</v>
      </c>
      <c r="G44" s="1" t="s">
        <v>221</v>
      </c>
      <c r="H44" s="1">
        <f>--ISNUMBER(SEARCH("Windows",Table2[[#This Row],[platforms]]))</f>
        <v>0</v>
      </c>
      <c r="I44" s="1">
        <f>--ISNUMBER(SEARCH("Android",Table2[[#This Row],[platforms]]))</f>
        <v>0</v>
      </c>
      <c r="J44" s="1">
        <f>--ISNUMBER(SEARCH("Linux",Table2[[#This Row],[platforms]]))</f>
        <v>0</v>
      </c>
      <c r="K44" s="1">
        <f>--ISNUMBER(SEARCH("iOS",Table2[[#This Row],[platforms]]))</f>
        <v>0</v>
      </c>
      <c r="L44" s="1">
        <f>--ISNUMBER(SEARCH("macOS",Table2[[#This Row],[platforms]]))</f>
        <v>0</v>
      </c>
      <c r="M44" s="1">
        <f>--ISNUMBER(SEARCH("Cloud",Table2[[#This Row],[platforms]]))</f>
        <v>0</v>
      </c>
      <c r="N44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45" spans="1:14" ht="272" x14ac:dyDescent="0.2">
      <c r="A45" t="str">
        <f t="shared" si="0"/>
        <v>044</v>
      </c>
      <c r="B45" s="1" t="s">
        <v>58</v>
      </c>
      <c r="C45" s="1" t="s">
        <v>214</v>
      </c>
      <c r="D45" s="1" t="s">
        <v>29</v>
      </c>
      <c r="E45" s="2" t="s">
        <v>23</v>
      </c>
      <c r="F45" s="1" t="s">
        <v>217</v>
      </c>
      <c r="G45" s="1" t="s">
        <v>221</v>
      </c>
      <c r="H45" s="1">
        <f>--ISNUMBER(SEARCH("Windows",Table2[[#This Row],[platforms]]))</f>
        <v>0</v>
      </c>
      <c r="I45" s="1">
        <f>--ISNUMBER(SEARCH("Android",Table2[[#This Row],[platforms]]))</f>
        <v>0</v>
      </c>
      <c r="J45" s="1">
        <f>--ISNUMBER(SEARCH("Linux",Table2[[#This Row],[platforms]]))</f>
        <v>0</v>
      </c>
      <c r="K45" s="1">
        <f>--ISNUMBER(SEARCH("iOS",Table2[[#This Row],[platforms]]))</f>
        <v>0</v>
      </c>
      <c r="L45" s="1">
        <f>--ISNUMBER(SEARCH("macOS",Table2[[#This Row],[platforms]]))</f>
        <v>0</v>
      </c>
      <c r="M45" s="1">
        <f>--ISNUMBER(SEARCH("Cloud",Table2[[#This Row],[platforms]]))</f>
        <v>0</v>
      </c>
      <c r="N45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46" spans="1:14" ht="306" x14ac:dyDescent="0.2">
      <c r="A46" t="str">
        <f t="shared" si="0"/>
        <v>045</v>
      </c>
      <c r="B46" s="1" t="s">
        <v>59</v>
      </c>
      <c r="C46" s="1" t="s">
        <v>214</v>
      </c>
      <c r="E46" s="2" t="s">
        <v>6</v>
      </c>
      <c r="F46" s="1" t="s">
        <v>217</v>
      </c>
      <c r="G46" s="1" t="s">
        <v>221</v>
      </c>
      <c r="H46" s="1">
        <f>--ISNUMBER(SEARCH("Windows",Table2[[#This Row],[platforms]]))</f>
        <v>0</v>
      </c>
      <c r="I46" s="1">
        <f>--ISNUMBER(SEARCH("Android",Table2[[#This Row],[platforms]]))</f>
        <v>0</v>
      </c>
      <c r="J46" s="1">
        <f>--ISNUMBER(SEARCH("Linux",Table2[[#This Row],[platforms]]))</f>
        <v>0</v>
      </c>
      <c r="K46" s="1">
        <f>--ISNUMBER(SEARCH("iOS",Table2[[#This Row],[platforms]]))</f>
        <v>0</v>
      </c>
      <c r="L46" s="1">
        <f>--ISNUMBER(SEARCH("macOS",Table2[[#This Row],[platforms]]))</f>
        <v>0</v>
      </c>
      <c r="M46" s="1">
        <f>--ISNUMBER(SEARCH("Cloud",Table2[[#This Row],[platforms]]))</f>
        <v>0</v>
      </c>
      <c r="N46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47" spans="1:14" ht="221" x14ac:dyDescent="0.2">
      <c r="A47" t="str">
        <f t="shared" si="0"/>
        <v>046</v>
      </c>
      <c r="B47" s="1" t="s">
        <v>60</v>
      </c>
      <c r="C47" s="1" t="s">
        <v>8</v>
      </c>
      <c r="E47" t="s">
        <v>213</v>
      </c>
      <c r="F47" s="1" t="s">
        <v>217</v>
      </c>
      <c r="G47" s="1" t="s">
        <v>221</v>
      </c>
      <c r="H47" s="1">
        <f>--ISNUMBER(SEARCH("Windows",Table2[[#This Row],[platforms]]))</f>
        <v>0</v>
      </c>
      <c r="I47" s="1">
        <f>--ISNUMBER(SEARCH("Android",Table2[[#This Row],[platforms]]))</f>
        <v>0</v>
      </c>
      <c r="J47" s="1">
        <f>--ISNUMBER(SEARCH("Linux",Table2[[#This Row],[platforms]]))</f>
        <v>0</v>
      </c>
      <c r="K47" s="1">
        <f>--ISNUMBER(SEARCH("iOS",Table2[[#This Row],[platforms]]))</f>
        <v>0</v>
      </c>
      <c r="L47" s="1">
        <f>--ISNUMBER(SEARCH("macOS",Table2[[#This Row],[platforms]]))</f>
        <v>0</v>
      </c>
      <c r="M47" s="1">
        <f>--ISNUMBER(SEARCH("Cloud",Table2[[#This Row],[platforms]]))</f>
        <v>0</v>
      </c>
      <c r="N47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48" spans="1:14" ht="272" x14ac:dyDescent="0.2">
      <c r="A48" t="str">
        <f t="shared" si="0"/>
        <v>047</v>
      </c>
      <c r="B48" s="1" t="s">
        <v>61</v>
      </c>
      <c r="C48" s="1" t="s">
        <v>8</v>
      </c>
      <c r="E48" s="2" t="s">
        <v>6</v>
      </c>
      <c r="F48" s="1" t="s">
        <v>217</v>
      </c>
      <c r="G48" s="1" t="s">
        <v>221</v>
      </c>
      <c r="H48" s="1">
        <f>--ISNUMBER(SEARCH("Windows",Table2[[#This Row],[platforms]]))</f>
        <v>0</v>
      </c>
      <c r="I48" s="1">
        <f>--ISNUMBER(SEARCH("Android",Table2[[#This Row],[platforms]]))</f>
        <v>0</v>
      </c>
      <c r="J48" s="1">
        <f>--ISNUMBER(SEARCH("Linux",Table2[[#This Row],[platforms]]))</f>
        <v>0</v>
      </c>
      <c r="K48" s="1">
        <f>--ISNUMBER(SEARCH("iOS",Table2[[#This Row],[platforms]]))</f>
        <v>0</v>
      </c>
      <c r="L48" s="1">
        <f>--ISNUMBER(SEARCH("macOS",Table2[[#This Row],[platforms]]))</f>
        <v>0</v>
      </c>
      <c r="M48" s="1">
        <f>--ISNUMBER(SEARCH("Cloud",Table2[[#This Row],[platforms]]))</f>
        <v>0</v>
      </c>
      <c r="N4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49" spans="1:14" ht="204" x14ac:dyDescent="0.2">
      <c r="A49" t="str">
        <f t="shared" si="0"/>
        <v>048</v>
      </c>
      <c r="B49" s="1" t="s">
        <v>62</v>
      </c>
      <c r="C49" s="1" t="s">
        <v>214</v>
      </c>
      <c r="E49" s="2" t="s">
        <v>6</v>
      </c>
      <c r="F49" s="1" t="s">
        <v>10</v>
      </c>
      <c r="G49" s="1" t="s">
        <v>221</v>
      </c>
      <c r="H49" s="1">
        <f>--ISNUMBER(SEARCH("Windows",Table2[[#This Row],[platforms]]))</f>
        <v>0</v>
      </c>
      <c r="I49" s="1">
        <f>--ISNUMBER(SEARCH("Android",Table2[[#This Row],[platforms]]))</f>
        <v>0</v>
      </c>
      <c r="J49" s="1">
        <f>--ISNUMBER(SEARCH("Linux",Table2[[#This Row],[platforms]]))</f>
        <v>0</v>
      </c>
      <c r="K49" s="1">
        <f>--ISNUMBER(SEARCH("iOS",Table2[[#This Row],[platforms]]))</f>
        <v>0</v>
      </c>
      <c r="L49" s="1">
        <f>--ISNUMBER(SEARCH("macOS",Table2[[#This Row],[platforms]]))</f>
        <v>0</v>
      </c>
      <c r="M49" s="1">
        <f>--ISNUMBER(SEARCH("Cloud",Table2[[#This Row],[platforms]]))</f>
        <v>0</v>
      </c>
      <c r="N49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50" spans="1:14" ht="255" x14ac:dyDescent="0.2">
      <c r="A50" t="str">
        <f t="shared" si="0"/>
        <v>049</v>
      </c>
      <c r="B50" s="1" t="s">
        <v>63</v>
      </c>
      <c r="C50" s="1" t="s">
        <v>5</v>
      </c>
      <c r="E50" s="2" t="s">
        <v>6</v>
      </c>
      <c r="F50" s="1" t="s">
        <v>216</v>
      </c>
      <c r="G50" s="1" t="s">
        <v>235</v>
      </c>
      <c r="H50" s="1">
        <f>--ISNUMBER(SEARCH("Windows",Table2[[#This Row],[platforms]]))</f>
        <v>1</v>
      </c>
      <c r="I50" s="1">
        <f>--ISNUMBER(SEARCH("Android",Table2[[#This Row],[platforms]]))</f>
        <v>0</v>
      </c>
      <c r="J50" s="1">
        <f>--ISNUMBER(SEARCH("Linux",Table2[[#This Row],[platforms]]))</f>
        <v>1</v>
      </c>
      <c r="K50" s="1">
        <f>--ISNUMBER(SEARCH("iOS",Table2[[#This Row],[platforms]]))</f>
        <v>0</v>
      </c>
      <c r="L50" s="1">
        <f>--ISNUMBER(SEARCH("macOS",Table2[[#This Row],[platforms]]))</f>
        <v>0</v>
      </c>
      <c r="M50" s="1">
        <f>--ISNUMBER(SEARCH("Cloud",Table2[[#This Row],[platforms]]))</f>
        <v>0</v>
      </c>
      <c r="N50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51" spans="1:14" ht="255" x14ac:dyDescent="0.2">
      <c r="A51" t="str">
        <f t="shared" si="0"/>
        <v>050</v>
      </c>
      <c r="B51" s="1" t="s">
        <v>64</v>
      </c>
      <c r="C51" s="1" t="s">
        <v>10</v>
      </c>
      <c r="E51" s="2" t="s">
        <v>6</v>
      </c>
      <c r="F51" s="1" t="s">
        <v>10</v>
      </c>
      <c r="G51" s="1" t="s">
        <v>234</v>
      </c>
      <c r="H51" s="1">
        <f>--ISNUMBER(SEARCH("Windows",Table2[[#This Row],[platforms]]))</f>
        <v>0</v>
      </c>
      <c r="I51" s="1">
        <f>--ISNUMBER(SEARCH("Android",Table2[[#This Row],[platforms]]))</f>
        <v>1</v>
      </c>
      <c r="J51" s="1">
        <f>--ISNUMBER(SEARCH("Linux",Table2[[#This Row],[platforms]]))</f>
        <v>0</v>
      </c>
      <c r="K51" s="1">
        <f>--ISNUMBER(SEARCH("iOS",Table2[[#This Row],[platforms]]))</f>
        <v>0</v>
      </c>
      <c r="L51" s="1">
        <f>--ISNUMBER(SEARCH("macOS",Table2[[#This Row],[platforms]]))</f>
        <v>0</v>
      </c>
      <c r="M51" s="1">
        <f>--ISNUMBER(SEARCH("Cloud",Table2[[#This Row],[platforms]]))</f>
        <v>0</v>
      </c>
      <c r="N51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52" spans="1:14" ht="272" x14ac:dyDescent="0.2">
      <c r="A52" t="str">
        <f t="shared" si="0"/>
        <v>051</v>
      </c>
      <c r="B52" s="1" t="s">
        <v>65</v>
      </c>
      <c r="C52" s="1" t="s">
        <v>8</v>
      </c>
      <c r="E52" s="2" t="s">
        <v>6</v>
      </c>
      <c r="F52" s="1" t="s">
        <v>218</v>
      </c>
      <c r="G52" s="1" t="s">
        <v>239</v>
      </c>
      <c r="H52" s="1">
        <f>--ISNUMBER(SEARCH("Windows",Table2[[#This Row],[platforms]]))</f>
        <v>1</v>
      </c>
      <c r="I52" s="1">
        <f>--ISNUMBER(SEARCH("Android",Table2[[#This Row],[platforms]]))</f>
        <v>1</v>
      </c>
      <c r="J52" s="1">
        <f>--ISNUMBER(SEARCH("Linux",Table2[[#This Row],[platforms]]))</f>
        <v>1</v>
      </c>
      <c r="K52" s="1">
        <f>--ISNUMBER(SEARCH("iOS",Table2[[#This Row],[platforms]]))</f>
        <v>1</v>
      </c>
      <c r="L52" s="1">
        <f>--ISNUMBER(SEARCH("macOS",Table2[[#This Row],[platforms]]))</f>
        <v>1</v>
      </c>
      <c r="M52" s="1">
        <f>--ISNUMBER(SEARCH("Cloud",Table2[[#This Row],[platforms]]))</f>
        <v>0</v>
      </c>
      <c r="N52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53" spans="1:14" ht="272" x14ac:dyDescent="0.2">
      <c r="A53" t="str">
        <f t="shared" si="0"/>
        <v>052</v>
      </c>
      <c r="B53" s="1" t="s">
        <v>66</v>
      </c>
      <c r="C53" s="1" t="s">
        <v>214</v>
      </c>
      <c r="E53" s="2" t="s">
        <v>57</v>
      </c>
      <c r="F53" s="1" t="s">
        <v>217</v>
      </c>
      <c r="G53" s="1" t="s">
        <v>221</v>
      </c>
      <c r="H53" s="1">
        <f>--ISNUMBER(SEARCH("Windows",Table2[[#This Row],[platforms]]))</f>
        <v>0</v>
      </c>
      <c r="I53" s="1">
        <f>--ISNUMBER(SEARCH("Android",Table2[[#This Row],[platforms]]))</f>
        <v>0</v>
      </c>
      <c r="J53" s="1">
        <f>--ISNUMBER(SEARCH("Linux",Table2[[#This Row],[platforms]]))</f>
        <v>0</v>
      </c>
      <c r="K53" s="1">
        <f>--ISNUMBER(SEARCH("iOS",Table2[[#This Row],[platforms]]))</f>
        <v>0</v>
      </c>
      <c r="L53" s="1">
        <f>--ISNUMBER(SEARCH("macOS",Table2[[#This Row],[platforms]]))</f>
        <v>0</v>
      </c>
      <c r="M53" s="1">
        <f>--ISNUMBER(SEARCH("Cloud",Table2[[#This Row],[platforms]]))</f>
        <v>0</v>
      </c>
      <c r="N5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54" spans="1:14" ht="221" x14ac:dyDescent="0.2">
      <c r="A54" t="str">
        <f t="shared" si="0"/>
        <v>053</v>
      </c>
      <c r="B54" s="1" t="s">
        <v>67</v>
      </c>
      <c r="C54" s="1" t="s">
        <v>214</v>
      </c>
      <c r="D54" s="1" t="s">
        <v>29</v>
      </c>
      <c r="E54" s="2" t="s">
        <v>23</v>
      </c>
      <c r="F54" s="1" t="s">
        <v>217</v>
      </c>
      <c r="G54" s="1" t="s">
        <v>221</v>
      </c>
      <c r="H54" s="1">
        <f>--ISNUMBER(SEARCH("Windows",Table2[[#This Row],[platforms]]))</f>
        <v>0</v>
      </c>
      <c r="I54" s="1">
        <f>--ISNUMBER(SEARCH("Android",Table2[[#This Row],[platforms]]))</f>
        <v>0</v>
      </c>
      <c r="J54" s="1">
        <f>--ISNUMBER(SEARCH("Linux",Table2[[#This Row],[platforms]]))</f>
        <v>0</v>
      </c>
      <c r="K54" s="1">
        <f>--ISNUMBER(SEARCH("iOS",Table2[[#This Row],[platforms]]))</f>
        <v>0</v>
      </c>
      <c r="L54" s="1">
        <f>--ISNUMBER(SEARCH("macOS",Table2[[#This Row],[platforms]]))</f>
        <v>0</v>
      </c>
      <c r="M54" s="1">
        <f>--ISNUMBER(SEARCH("Cloud",Table2[[#This Row],[platforms]]))</f>
        <v>0</v>
      </c>
      <c r="N54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55" spans="1:14" ht="306" x14ac:dyDescent="0.2">
      <c r="A55" t="str">
        <f t="shared" si="0"/>
        <v>054</v>
      </c>
      <c r="B55" s="1" t="s">
        <v>68</v>
      </c>
      <c r="C55" s="1" t="s">
        <v>5</v>
      </c>
      <c r="E55" s="2" t="s">
        <v>23</v>
      </c>
      <c r="F55" s="1" t="s">
        <v>216</v>
      </c>
      <c r="G55" s="1" t="s">
        <v>232</v>
      </c>
      <c r="H55" s="1">
        <f>--ISNUMBER(SEARCH("Windows",Table2[[#This Row],[platforms]]))</f>
        <v>1</v>
      </c>
      <c r="I55" s="1">
        <f>--ISNUMBER(SEARCH("Android",Table2[[#This Row],[platforms]]))</f>
        <v>0</v>
      </c>
      <c r="J55" s="1">
        <f>--ISNUMBER(SEARCH("Linux",Table2[[#This Row],[platforms]]))</f>
        <v>0</v>
      </c>
      <c r="K55" s="1">
        <f>--ISNUMBER(SEARCH("iOS",Table2[[#This Row],[platforms]]))</f>
        <v>0</v>
      </c>
      <c r="L55" s="1">
        <f>--ISNUMBER(SEARCH("macOS",Table2[[#This Row],[platforms]]))</f>
        <v>0</v>
      </c>
      <c r="M55" s="1">
        <f>--ISNUMBER(SEARCH("Cloud",Table2[[#This Row],[platforms]]))</f>
        <v>0</v>
      </c>
      <c r="N55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56" spans="1:14" ht="340" x14ac:dyDescent="0.2">
      <c r="A56" t="str">
        <f t="shared" si="0"/>
        <v>055</v>
      </c>
      <c r="B56" s="1" t="s">
        <v>69</v>
      </c>
      <c r="C56" s="1" t="s">
        <v>10</v>
      </c>
      <c r="E56" s="2" t="s">
        <v>6</v>
      </c>
      <c r="F56" s="1" t="s">
        <v>10</v>
      </c>
      <c r="G56" s="1" t="s">
        <v>234</v>
      </c>
      <c r="H56" s="1">
        <f>--ISNUMBER(SEARCH("Windows",Table2[[#This Row],[platforms]]))</f>
        <v>0</v>
      </c>
      <c r="I56" s="1">
        <f>--ISNUMBER(SEARCH("Android",Table2[[#This Row],[platforms]]))</f>
        <v>1</v>
      </c>
      <c r="J56" s="1">
        <f>--ISNUMBER(SEARCH("Linux",Table2[[#This Row],[platforms]]))</f>
        <v>0</v>
      </c>
      <c r="K56" s="1">
        <f>--ISNUMBER(SEARCH("iOS",Table2[[#This Row],[platforms]]))</f>
        <v>0</v>
      </c>
      <c r="L56" s="1">
        <f>--ISNUMBER(SEARCH("macOS",Table2[[#This Row],[platforms]]))</f>
        <v>0</v>
      </c>
      <c r="M56" s="1">
        <f>--ISNUMBER(SEARCH("Cloud",Table2[[#This Row],[platforms]]))</f>
        <v>0</v>
      </c>
      <c r="N56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57" spans="1:14" ht="204" x14ac:dyDescent="0.2">
      <c r="A57" t="str">
        <f t="shared" si="0"/>
        <v>056</v>
      </c>
      <c r="B57" s="1" t="s">
        <v>70</v>
      </c>
      <c r="C57" s="1" t="s">
        <v>10</v>
      </c>
      <c r="E57" t="s">
        <v>213</v>
      </c>
      <c r="F57" s="1" t="s">
        <v>10</v>
      </c>
      <c r="G57" s="1" t="s">
        <v>234</v>
      </c>
      <c r="H57" s="1">
        <f>--ISNUMBER(SEARCH("Windows",Table2[[#This Row],[platforms]]))</f>
        <v>0</v>
      </c>
      <c r="I57" s="1">
        <f>--ISNUMBER(SEARCH("Android",Table2[[#This Row],[platforms]]))</f>
        <v>1</v>
      </c>
      <c r="J57" s="1">
        <f>--ISNUMBER(SEARCH("Linux",Table2[[#This Row],[platforms]]))</f>
        <v>0</v>
      </c>
      <c r="K57" s="1">
        <f>--ISNUMBER(SEARCH("iOS",Table2[[#This Row],[platforms]]))</f>
        <v>0</v>
      </c>
      <c r="L57" s="1">
        <f>--ISNUMBER(SEARCH("macOS",Table2[[#This Row],[platforms]]))</f>
        <v>0</v>
      </c>
      <c r="M57" s="1">
        <f>--ISNUMBER(SEARCH("Cloud",Table2[[#This Row],[platforms]]))</f>
        <v>0</v>
      </c>
      <c r="N57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58" spans="1:14" ht="255" x14ac:dyDescent="0.2">
      <c r="A58" t="str">
        <f t="shared" si="0"/>
        <v>057</v>
      </c>
      <c r="B58" s="1" t="s">
        <v>71</v>
      </c>
      <c r="C58" s="1" t="s">
        <v>214</v>
      </c>
      <c r="D58" t="s">
        <v>29</v>
      </c>
      <c r="E58" t="s">
        <v>213</v>
      </c>
      <c r="F58" s="1" t="s">
        <v>217</v>
      </c>
      <c r="G58" s="1" t="s">
        <v>221</v>
      </c>
      <c r="H58" s="1">
        <f>--ISNUMBER(SEARCH("Windows",Table2[[#This Row],[platforms]]))</f>
        <v>0</v>
      </c>
      <c r="I58" s="1">
        <f>--ISNUMBER(SEARCH("Android",Table2[[#This Row],[platforms]]))</f>
        <v>0</v>
      </c>
      <c r="J58" s="1">
        <f>--ISNUMBER(SEARCH("Linux",Table2[[#This Row],[platforms]]))</f>
        <v>0</v>
      </c>
      <c r="K58" s="1">
        <f>--ISNUMBER(SEARCH("iOS",Table2[[#This Row],[platforms]]))</f>
        <v>0</v>
      </c>
      <c r="L58" s="1">
        <f>--ISNUMBER(SEARCH("macOS",Table2[[#This Row],[platforms]]))</f>
        <v>0</v>
      </c>
      <c r="M58" s="1">
        <f>--ISNUMBER(SEARCH("Cloud",Table2[[#This Row],[platforms]]))</f>
        <v>0</v>
      </c>
      <c r="N5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59" spans="1:14" ht="238" x14ac:dyDescent="0.2">
      <c r="A59" t="str">
        <f t="shared" si="0"/>
        <v>058</v>
      </c>
      <c r="B59" s="1" t="s">
        <v>72</v>
      </c>
      <c r="C59" s="1" t="s">
        <v>5</v>
      </c>
      <c r="E59" t="s">
        <v>213</v>
      </c>
      <c r="F59" s="1" t="s">
        <v>216</v>
      </c>
      <c r="G59" s="1" t="s">
        <v>235</v>
      </c>
      <c r="H59" s="1">
        <f>--ISNUMBER(SEARCH("Windows",Table2[[#This Row],[platforms]]))</f>
        <v>1</v>
      </c>
      <c r="I59" s="1">
        <f>--ISNUMBER(SEARCH("Android",Table2[[#This Row],[platforms]]))</f>
        <v>0</v>
      </c>
      <c r="J59" s="1">
        <f>--ISNUMBER(SEARCH("Linux",Table2[[#This Row],[platforms]]))</f>
        <v>1</v>
      </c>
      <c r="K59" s="1">
        <f>--ISNUMBER(SEARCH("iOS",Table2[[#This Row],[platforms]]))</f>
        <v>0</v>
      </c>
      <c r="L59" s="1">
        <f>--ISNUMBER(SEARCH("macOS",Table2[[#This Row],[platforms]]))</f>
        <v>0</v>
      </c>
      <c r="M59" s="1">
        <f>--ISNUMBER(SEARCH("Cloud",Table2[[#This Row],[platforms]]))</f>
        <v>0</v>
      </c>
      <c r="N59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60" spans="1:14" ht="187" x14ac:dyDescent="0.2">
      <c r="A60" t="str">
        <f t="shared" si="0"/>
        <v>059</v>
      </c>
      <c r="B60" s="1" t="s">
        <v>73</v>
      </c>
      <c r="C60" s="1" t="s">
        <v>10</v>
      </c>
      <c r="E60" s="2" t="s">
        <v>6</v>
      </c>
      <c r="F60" s="1" t="s">
        <v>10</v>
      </c>
      <c r="G60" s="1" t="s">
        <v>234</v>
      </c>
      <c r="H60" s="1">
        <f>--ISNUMBER(SEARCH("Windows",Table2[[#This Row],[platforms]]))</f>
        <v>0</v>
      </c>
      <c r="I60" s="1">
        <f>--ISNUMBER(SEARCH("Android",Table2[[#This Row],[platforms]]))</f>
        <v>1</v>
      </c>
      <c r="J60" s="1">
        <f>--ISNUMBER(SEARCH("Linux",Table2[[#This Row],[platforms]]))</f>
        <v>0</v>
      </c>
      <c r="K60" s="1">
        <f>--ISNUMBER(SEARCH("iOS",Table2[[#This Row],[platforms]]))</f>
        <v>0</v>
      </c>
      <c r="L60" s="1">
        <f>--ISNUMBER(SEARCH("macOS",Table2[[#This Row],[platforms]]))</f>
        <v>0</v>
      </c>
      <c r="M60" s="1">
        <f>--ISNUMBER(SEARCH("Cloud",Table2[[#This Row],[platforms]]))</f>
        <v>0</v>
      </c>
      <c r="N60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61" spans="1:14" ht="306" x14ac:dyDescent="0.2">
      <c r="A61" t="str">
        <f t="shared" si="0"/>
        <v>060</v>
      </c>
      <c r="B61" s="1" t="s">
        <v>74</v>
      </c>
      <c r="C61" s="1" t="s">
        <v>10</v>
      </c>
      <c r="D61" s="1"/>
      <c r="E61" s="1" t="s">
        <v>23</v>
      </c>
      <c r="F61" s="1" t="s">
        <v>10</v>
      </c>
      <c r="G61" s="1" t="s">
        <v>234</v>
      </c>
      <c r="H61" s="1">
        <f>--ISNUMBER(SEARCH("Windows",Table2[[#This Row],[platforms]]))</f>
        <v>0</v>
      </c>
      <c r="I61" s="1">
        <f>--ISNUMBER(SEARCH("Android",Table2[[#This Row],[platforms]]))</f>
        <v>1</v>
      </c>
      <c r="J61" s="1">
        <f>--ISNUMBER(SEARCH("Linux",Table2[[#This Row],[platforms]]))</f>
        <v>0</v>
      </c>
      <c r="K61" s="1">
        <f>--ISNUMBER(SEARCH("iOS",Table2[[#This Row],[platforms]]))</f>
        <v>0</v>
      </c>
      <c r="L61" s="1">
        <f>--ISNUMBER(SEARCH("macOS",Table2[[#This Row],[platforms]]))</f>
        <v>0</v>
      </c>
      <c r="M61" s="1">
        <f>--ISNUMBER(SEARCH("Cloud",Table2[[#This Row],[platforms]]))</f>
        <v>0</v>
      </c>
      <c r="N61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62" spans="1:14" ht="255" x14ac:dyDescent="0.2">
      <c r="A62" t="str">
        <f t="shared" si="0"/>
        <v>061</v>
      </c>
      <c r="B62" s="1" t="s">
        <v>75</v>
      </c>
      <c r="C62" s="1" t="s">
        <v>214</v>
      </c>
      <c r="D62" s="1"/>
      <c r="E62" t="s">
        <v>213</v>
      </c>
      <c r="F62" s="1" t="s">
        <v>217</v>
      </c>
      <c r="G62" s="1" t="s">
        <v>221</v>
      </c>
      <c r="H62" s="1">
        <f>--ISNUMBER(SEARCH("Windows",Table2[[#This Row],[platforms]]))</f>
        <v>0</v>
      </c>
      <c r="I62" s="1">
        <f>--ISNUMBER(SEARCH("Android",Table2[[#This Row],[platforms]]))</f>
        <v>0</v>
      </c>
      <c r="J62" s="1">
        <f>--ISNUMBER(SEARCH("Linux",Table2[[#This Row],[platforms]]))</f>
        <v>0</v>
      </c>
      <c r="K62" s="1">
        <f>--ISNUMBER(SEARCH("iOS",Table2[[#This Row],[platforms]]))</f>
        <v>0</v>
      </c>
      <c r="L62" s="1">
        <f>--ISNUMBER(SEARCH("macOS",Table2[[#This Row],[platforms]]))</f>
        <v>0</v>
      </c>
      <c r="M62" s="1">
        <f>--ISNUMBER(SEARCH("Cloud",Table2[[#This Row],[platforms]]))</f>
        <v>0</v>
      </c>
      <c r="N6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63" spans="1:14" ht="238" x14ac:dyDescent="0.2">
      <c r="A63" t="str">
        <f t="shared" si="0"/>
        <v>062</v>
      </c>
      <c r="B63" s="1" t="s">
        <v>76</v>
      </c>
      <c r="C63" s="1" t="s">
        <v>214</v>
      </c>
      <c r="D63" s="1"/>
      <c r="E63" s="2" t="s">
        <v>6</v>
      </c>
      <c r="F63" s="1" t="s">
        <v>217</v>
      </c>
      <c r="G63" s="1" t="s">
        <v>221</v>
      </c>
      <c r="H63" s="1">
        <f>--ISNUMBER(SEARCH("Windows",Table2[[#This Row],[platforms]]))</f>
        <v>0</v>
      </c>
      <c r="I63" s="1">
        <f>--ISNUMBER(SEARCH("Android",Table2[[#This Row],[platforms]]))</f>
        <v>0</v>
      </c>
      <c r="J63" s="1">
        <f>--ISNUMBER(SEARCH("Linux",Table2[[#This Row],[platforms]]))</f>
        <v>0</v>
      </c>
      <c r="K63" s="1">
        <f>--ISNUMBER(SEARCH("iOS",Table2[[#This Row],[platforms]]))</f>
        <v>0</v>
      </c>
      <c r="L63" s="1">
        <f>--ISNUMBER(SEARCH("macOS",Table2[[#This Row],[platforms]]))</f>
        <v>0</v>
      </c>
      <c r="M63" s="1">
        <f>--ISNUMBER(SEARCH("Cloud",Table2[[#This Row],[platforms]]))</f>
        <v>0</v>
      </c>
      <c r="N6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64" spans="1:14" ht="204" x14ac:dyDescent="0.2">
      <c r="A64" t="str">
        <f t="shared" si="0"/>
        <v>063</v>
      </c>
      <c r="B64" s="1" t="s">
        <v>77</v>
      </c>
      <c r="C64" s="1" t="s">
        <v>8</v>
      </c>
      <c r="E64" t="s">
        <v>213</v>
      </c>
      <c r="F64" s="1" t="s">
        <v>217</v>
      </c>
      <c r="G64" s="1" t="s">
        <v>221</v>
      </c>
      <c r="H64" s="1">
        <f>--ISNUMBER(SEARCH("Windows",Table2[[#This Row],[platforms]]))</f>
        <v>0</v>
      </c>
      <c r="I64" s="1">
        <f>--ISNUMBER(SEARCH("Android",Table2[[#This Row],[platforms]]))</f>
        <v>0</v>
      </c>
      <c r="J64" s="1">
        <f>--ISNUMBER(SEARCH("Linux",Table2[[#This Row],[platforms]]))</f>
        <v>0</v>
      </c>
      <c r="K64" s="1">
        <f>--ISNUMBER(SEARCH("iOS",Table2[[#This Row],[platforms]]))</f>
        <v>0</v>
      </c>
      <c r="L64" s="1">
        <f>--ISNUMBER(SEARCH("macOS",Table2[[#This Row],[platforms]]))</f>
        <v>0</v>
      </c>
      <c r="M64" s="1">
        <f>--ISNUMBER(SEARCH("Cloud",Table2[[#This Row],[platforms]]))</f>
        <v>0</v>
      </c>
      <c r="N64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65" spans="1:14" ht="289" x14ac:dyDescent="0.2">
      <c r="A65" t="str">
        <f t="shared" si="0"/>
        <v>064</v>
      </c>
      <c r="B65" s="1" t="s">
        <v>78</v>
      </c>
      <c r="C65" s="1" t="s">
        <v>5</v>
      </c>
      <c r="D65" s="1"/>
      <c r="E65" t="s">
        <v>213</v>
      </c>
      <c r="F65" s="1" t="s">
        <v>216</v>
      </c>
      <c r="G65" s="1" t="s">
        <v>232</v>
      </c>
      <c r="H65" s="1">
        <f>--ISNUMBER(SEARCH("Windows",Table2[[#This Row],[platforms]]))</f>
        <v>1</v>
      </c>
      <c r="I65" s="1">
        <f>--ISNUMBER(SEARCH("Android",Table2[[#This Row],[platforms]]))</f>
        <v>0</v>
      </c>
      <c r="J65" s="1">
        <f>--ISNUMBER(SEARCH("Linux",Table2[[#This Row],[platforms]]))</f>
        <v>0</v>
      </c>
      <c r="K65" s="1">
        <f>--ISNUMBER(SEARCH("iOS",Table2[[#This Row],[platforms]]))</f>
        <v>0</v>
      </c>
      <c r="L65" s="1">
        <f>--ISNUMBER(SEARCH("macOS",Table2[[#This Row],[platforms]]))</f>
        <v>0</v>
      </c>
      <c r="M65" s="1">
        <f>--ISNUMBER(SEARCH("Cloud",Table2[[#This Row],[platforms]]))</f>
        <v>0</v>
      </c>
      <c r="N65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66" spans="1:14" ht="238" x14ac:dyDescent="0.2">
      <c r="A66" t="str">
        <f t="shared" si="0"/>
        <v>065</v>
      </c>
      <c r="B66" s="1" t="s">
        <v>79</v>
      </c>
      <c r="C66" s="1" t="s">
        <v>5</v>
      </c>
      <c r="E66" t="s">
        <v>213</v>
      </c>
      <c r="F66" s="1" t="s">
        <v>216</v>
      </c>
      <c r="G66" s="1" t="s">
        <v>232</v>
      </c>
      <c r="H66" s="1">
        <f>--ISNUMBER(SEARCH("Windows",Table2[[#This Row],[platforms]]))</f>
        <v>1</v>
      </c>
      <c r="I66" s="1">
        <f>--ISNUMBER(SEARCH("Android",Table2[[#This Row],[platforms]]))</f>
        <v>0</v>
      </c>
      <c r="J66" s="1">
        <f>--ISNUMBER(SEARCH("Linux",Table2[[#This Row],[platforms]]))</f>
        <v>0</v>
      </c>
      <c r="K66" s="1">
        <f>--ISNUMBER(SEARCH("iOS",Table2[[#This Row],[platforms]]))</f>
        <v>0</v>
      </c>
      <c r="L66" s="1">
        <f>--ISNUMBER(SEARCH("macOS",Table2[[#This Row],[platforms]]))</f>
        <v>0</v>
      </c>
      <c r="M66" s="1">
        <f>--ISNUMBER(SEARCH("Cloud",Table2[[#This Row],[platforms]]))</f>
        <v>0</v>
      </c>
      <c r="N66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67" spans="1:14" ht="221" x14ac:dyDescent="0.2">
      <c r="A67" t="str">
        <f t="shared" si="0"/>
        <v>066</v>
      </c>
      <c r="B67" s="1" t="s">
        <v>80</v>
      </c>
      <c r="C67" s="1" t="s">
        <v>214</v>
      </c>
      <c r="D67" t="s">
        <v>29</v>
      </c>
      <c r="E67" t="s">
        <v>16</v>
      </c>
      <c r="F67" s="1" t="s">
        <v>217</v>
      </c>
      <c r="G67" s="1" t="s">
        <v>221</v>
      </c>
      <c r="H67" s="1">
        <f>--ISNUMBER(SEARCH("Windows",Table2[[#This Row],[platforms]]))</f>
        <v>0</v>
      </c>
      <c r="I67" s="1">
        <f>--ISNUMBER(SEARCH("Android",Table2[[#This Row],[platforms]]))</f>
        <v>0</v>
      </c>
      <c r="J67" s="1">
        <f>--ISNUMBER(SEARCH("Linux",Table2[[#This Row],[platforms]]))</f>
        <v>0</v>
      </c>
      <c r="K67" s="1">
        <f>--ISNUMBER(SEARCH("iOS",Table2[[#This Row],[platforms]]))</f>
        <v>0</v>
      </c>
      <c r="L67" s="1">
        <f>--ISNUMBER(SEARCH("macOS",Table2[[#This Row],[platforms]]))</f>
        <v>0</v>
      </c>
      <c r="M67" s="1">
        <f>--ISNUMBER(SEARCH("Cloud",Table2[[#This Row],[platforms]]))</f>
        <v>0</v>
      </c>
      <c r="N67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68" spans="1:14" ht="272" x14ac:dyDescent="0.2">
      <c r="A68" t="str">
        <f t="shared" ref="A68:A131" si="1">TEXT(ROW()-1,"000")</f>
        <v>067</v>
      </c>
      <c r="B68" s="1" t="s">
        <v>81</v>
      </c>
      <c r="C68" s="1" t="s">
        <v>31</v>
      </c>
      <c r="E68" t="s">
        <v>23</v>
      </c>
      <c r="F68" s="1" t="s">
        <v>216</v>
      </c>
      <c r="G68" s="1" t="s">
        <v>238</v>
      </c>
      <c r="H68" s="1">
        <f>--ISNUMBER(SEARCH("Windows",Table2[[#This Row],[platforms]]))</f>
        <v>0</v>
      </c>
      <c r="I68" s="1">
        <f>--ISNUMBER(SEARCH("Android",Table2[[#This Row],[platforms]]))</f>
        <v>0</v>
      </c>
      <c r="J68" s="1">
        <f>--ISNUMBER(SEARCH("Linux",Table2[[#This Row],[platforms]]))</f>
        <v>1</v>
      </c>
      <c r="K68" s="1">
        <f>--ISNUMBER(SEARCH("iOS",Table2[[#This Row],[platforms]]))</f>
        <v>0</v>
      </c>
      <c r="L68" s="1">
        <f>--ISNUMBER(SEARCH("macOS",Table2[[#This Row],[platforms]]))</f>
        <v>0</v>
      </c>
      <c r="M68" s="1">
        <f>--ISNUMBER(SEARCH("Cloud",Table2[[#This Row],[platforms]]))</f>
        <v>0</v>
      </c>
      <c r="N68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69" spans="1:14" ht="289" x14ac:dyDescent="0.2">
      <c r="A69" t="str">
        <f t="shared" si="1"/>
        <v>068</v>
      </c>
      <c r="B69" s="1" t="s">
        <v>82</v>
      </c>
      <c r="C69" s="1" t="s">
        <v>214</v>
      </c>
      <c r="E69" t="s">
        <v>57</v>
      </c>
      <c r="F69" s="1" t="s">
        <v>217</v>
      </c>
      <c r="G69" s="1" t="s">
        <v>221</v>
      </c>
      <c r="H69" s="1">
        <f>--ISNUMBER(SEARCH("Windows",Table2[[#This Row],[platforms]]))</f>
        <v>0</v>
      </c>
      <c r="I69" s="1">
        <f>--ISNUMBER(SEARCH("Android",Table2[[#This Row],[platforms]]))</f>
        <v>0</v>
      </c>
      <c r="J69" s="1">
        <f>--ISNUMBER(SEARCH("Linux",Table2[[#This Row],[platforms]]))</f>
        <v>0</v>
      </c>
      <c r="K69" s="1">
        <f>--ISNUMBER(SEARCH("iOS",Table2[[#This Row],[platforms]]))</f>
        <v>0</v>
      </c>
      <c r="L69" s="1">
        <f>--ISNUMBER(SEARCH("macOS",Table2[[#This Row],[platforms]]))</f>
        <v>0</v>
      </c>
      <c r="M69" s="1">
        <f>--ISNUMBER(SEARCH("Cloud",Table2[[#This Row],[platforms]]))</f>
        <v>0</v>
      </c>
      <c r="N69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70" spans="1:14" ht="204" x14ac:dyDescent="0.2">
      <c r="A70" t="str">
        <f t="shared" si="1"/>
        <v>069</v>
      </c>
      <c r="B70" s="1" t="s">
        <v>83</v>
      </c>
      <c r="C70" s="1" t="s">
        <v>214</v>
      </c>
      <c r="E70" t="s">
        <v>57</v>
      </c>
      <c r="F70" s="1" t="s">
        <v>217</v>
      </c>
      <c r="G70" s="1" t="s">
        <v>221</v>
      </c>
      <c r="H70" s="1">
        <f>--ISNUMBER(SEARCH("Windows",Table2[[#This Row],[platforms]]))</f>
        <v>0</v>
      </c>
      <c r="I70" s="1">
        <f>--ISNUMBER(SEARCH("Android",Table2[[#This Row],[platforms]]))</f>
        <v>0</v>
      </c>
      <c r="J70" s="1">
        <f>--ISNUMBER(SEARCH("Linux",Table2[[#This Row],[platforms]]))</f>
        <v>0</v>
      </c>
      <c r="K70" s="1">
        <f>--ISNUMBER(SEARCH("iOS",Table2[[#This Row],[platforms]]))</f>
        <v>0</v>
      </c>
      <c r="L70" s="1">
        <f>--ISNUMBER(SEARCH("macOS",Table2[[#This Row],[platforms]]))</f>
        <v>0</v>
      </c>
      <c r="M70" s="1">
        <f>--ISNUMBER(SEARCH("Cloud",Table2[[#This Row],[platforms]]))</f>
        <v>0</v>
      </c>
      <c r="N70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71" spans="1:14" ht="238" x14ac:dyDescent="0.2">
      <c r="A71" t="str">
        <f t="shared" si="1"/>
        <v>070</v>
      </c>
      <c r="B71" s="1" t="s">
        <v>84</v>
      </c>
      <c r="C71" s="1" t="s">
        <v>31</v>
      </c>
      <c r="D71" s="1"/>
      <c r="E71" s="1" t="s">
        <v>23</v>
      </c>
      <c r="F71" s="1" t="s">
        <v>217</v>
      </c>
      <c r="G71" s="1" t="s">
        <v>221</v>
      </c>
      <c r="H71" s="1">
        <f>--ISNUMBER(SEARCH("Windows",Table2[[#This Row],[platforms]]))</f>
        <v>0</v>
      </c>
      <c r="I71" s="1">
        <f>--ISNUMBER(SEARCH("Android",Table2[[#This Row],[platforms]]))</f>
        <v>0</v>
      </c>
      <c r="J71" s="1">
        <f>--ISNUMBER(SEARCH("Linux",Table2[[#This Row],[platforms]]))</f>
        <v>0</v>
      </c>
      <c r="K71" s="1">
        <f>--ISNUMBER(SEARCH("iOS",Table2[[#This Row],[platforms]]))</f>
        <v>0</v>
      </c>
      <c r="L71" s="1">
        <f>--ISNUMBER(SEARCH("macOS",Table2[[#This Row],[platforms]]))</f>
        <v>0</v>
      </c>
      <c r="M71" s="1">
        <f>--ISNUMBER(SEARCH("Cloud",Table2[[#This Row],[platforms]]))</f>
        <v>0</v>
      </c>
      <c r="N71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72" spans="1:14" ht="221" x14ac:dyDescent="0.2">
      <c r="A72" t="str">
        <f t="shared" si="1"/>
        <v>071</v>
      </c>
      <c r="B72" s="1" t="s">
        <v>85</v>
      </c>
      <c r="C72" s="1" t="s">
        <v>86</v>
      </c>
      <c r="E72" t="s">
        <v>23</v>
      </c>
      <c r="F72" s="1" t="s">
        <v>217</v>
      </c>
      <c r="G72" s="1" t="s">
        <v>221</v>
      </c>
      <c r="H72" s="1">
        <f>--ISNUMBER(SEARCH("Windows",Table2[[#This Row],[platforms]]))</f>
        <v>0</v>
      </c>
      <c r="I72" s="1">
        <f>--ISNUMBER(SEARCH("Android",Table2[[#This Row],[platforms]]))</f>
        <v>0</v>
      </c>
      <c r="J72" s="1">
        <f>--ISNUMBER(SEARCH("Linux",Table2[[#This Row],[platforms]]))</f>
        <v>0</v>
      </c>
      <c r="K72" s="1">
        <f>--ISNUMBER(SEARCH("iOS",Table2[[#This Row],[platforms]]))</f>
        <v>0</v>
      </c>
      <c r="L72" s="1">
        <f>--ISNUMBER(SEARCH("macOS",Table2[[#This Row],[platforms]]))</f>
        <v>0</v>
      </c>
      <c r="M72" s="1">
        <f>--ISNUMBER(SEARCH("Cloud",Table2[[#This Row],[platforms]]))</f>
        <v>0</v>
      </c>
      <c r="N7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73" spans="1:14" ht="187" x14ac:dyDescent="0.2">
      <c r="A73" t="str">
        <f t="shared" si="1"/>
        <v>072</v>
      </c>
      <c r="B73" s="1" t="s">
        <v>87</v>
      </c>
      <c r="C73" s="1" t="s">
        <v>214</v>
      </c>
      <c r="E73" t="s">
        <v>23</v>
      </c>
      <c r="F73" s="1" t="s">
        <v>217</v>
      </c>
      <c r="G73" s="1" t="s">
        <v>221</v>
      </c>
      <c r="H73" s="1">
        <f>--ISNUMBER(SEARCH("Windows",Table2[[#This Row],[platforms]]))</f>
        <v>0</v>
      </c>
      <c r="I73" s="1">
        <f>--ISNUMBER(SEARCH("Android",Table2[[#This Row],[platforms]]))</f>
        <v>0</v>
      </c>
      <c r="J73" s="1">
        <f>--ISNUMBER(SEARCH("Linux",Table2[[#This Row],[platforms]]))</f>
        <v>0</v>
      </c>
      <c r="K73" s="1">
        <f>--ISNUMBER(SEARCH("iOS",Table2[[#This Row],[platforms]]))</f>
        <v>0</v>
      </c>
      <c r="L73" s="1">
        <f>--ISNUMBER(SEARCH("macOS",Table2[[#This Row],[platforms]]))</f>
        <v>0</v>
      </c>
      <c r="M73" s="1">
        <f>--ISNUMBER(SEARCH("Cloud",Table2[[#This Row],[platforms]]))</f>
        <v>0</v>
      </c>
      <c r="N7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74" spans="1:14" ht="187" x14ac:dyDescent="0.2">
      <c r="A74" t="str">
        <f t="shared" si="1"/>
        <v>073</v>
      </c>
      <c r="B74" s="1" t="s">
        <v>88</v>
      </c>
      <c r="C74" s="1" t="s">
        <v>8</v>
      </c>
      <c r="E74" t="s">
        <v>23</v>
      </c>
      <c r="F74" s="1" t="s">
        <v>217</v>
      </c>
      <c r="G74" s="1" t="s">
        <v>221</v>
      </c>
      <c r="H74" s="1">
        <f>--ISNUMBER(SEARCH("Windows",Table2[[#This Row],[platforms]]))</f>
        <v>0</v>
      </c>
      <c r="I74" s="1">
        <f>--ISNUMBER(SEARCH("Android",Table2[[#This Row],[platforms]]))</f>
        <v>0</v>
      </c>
      <c r="J74" s="1">
        <f>--ISNUMBER(SEARCH("Linux",Table2[[#This Row],[platforms]]))</f>
        <v>0</v>
      </c>
      <c r="K74" s="1">
        <f>--ISNUMBER(SEARCH("iOS",Table2[[#This Row],[platforms]]))</f>
        <v>0</v>
      </c>
      <c r="L74" s="1">
        <f>--ISNUMBER(SEARCH("macOS",Table2[[#This Row],[platforms]]))</f>
        <v>0</v>
      </c>
      <c r="M74" s="1">
        <f>--ISNUMBER(SEARCH("Cloud",Table2[[#This Row],[platforms]]))</f>
        <v>0</v>
      </c>
      <c r="N74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75" spans="1:14" ht="238" x14ac:dyDescent="0.2">
      <c r="A75" t="str">
        <f t="shared" si="1"/>
        <v>074</v>
      </c>
      <c r="B75" s="1" t="s">
        <v>89</v>
      </c>
      <c r="C75" s="1" t="s">
        <v>214</v>
      </c>
      <c r="E75" t="s">
        <v>23</v>
      </c>
      <c r="F75" s="1" t="s">
        <v>217</v>
      </c>
      <c r="G75" s="1" t="s">
        <v>221</v>
      </c>
      <c r="H75" s="1">
        <f>--ISNUMBER(SEARCH("Windows",Table2[[#This Row],[platforms]]))</f>
        <v>0</v>
      </c>
      <c r="I75" s="1">
        <f>--ISNUMBER(SEARCH("Android",Table2[[#This Row],[platforms]]))</f>
        <v>0</v>
      </c>
      <c r="J75" s="1">
        <f>--ISNUMBER(SEARCH("Linux",Table2[[#This Row],[platforms]]))</f>
        <v>0</v>
      </c>
      <c r="K75" s="1">
        <f>--ISNUMBER(SEARCH("iOS",Table2[[#This Row],[platforms]]))</f>
        <v>0</v>
      </c>
      <c r="L75" s="1">
        <f>--ISNUMBER(SEARCH("macOS",Table2[[#This Row],[platforms]]))</f>
        <v>0</v>
      </c>
      <c r="M75" s="1">
        <f>--ISNUMBER(SEARCH("Cloud",Table2[[#This Row],[platforms]]))</f>
        <v>0</v>
      </c>
      <c r="N75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76" spans="1:14" ht="221" x14ac:dyDescent="0.2">
      <c r="A76" t="str">
        <f t="shared" si="1"/>
        <v>075</v>
      </c>
      <c r="B76" s="1" t="s">
        <v>90</v>
      </c>
      <c r="C76" s="1" t="s">
        <v>214</v>
      </c>
      <c r="E76" t="s">
        <v>23</v>
      </c>
      <c r="F76" s="1" t="s">
        <v>217</v>
      </c>
      <c r="G76" s="1" t="s">
        <v>221</v>
      </c>
      <c r="H76" s="1">
        <f>--ISNUMBER(SEARCH("Windows",Table2[[#This Row],[platforms]]))</f>
        <v>0</v>
      </c>
      <c r="I76" s="1">
        <f>--ISNUMBER(SEARCH("Android",Table2[[#This Row],[platforms]]))</f>
        <v>0</v>
      </c>
      <c r="J76" s="1">
        <f>--ISNUMBER(SEARCH("Linux",Table2[[#This Row],[platforms]]))</f>
        <v>0</v>
      </c>
      <c r="K76" s="1">
        <f>--ISNUMBER(SEARCH("iOS",Table2[[#This Row],[platforms]]))</f>
        <v>0</v>
      </c>
      <c r="L76" s="1">
        <f>--ISNUMBER(SEARCH("macOS",Table2[[#This Row],[platforms]]))</f>
        <v>0</v>
      </c>
      <c r="M76" s="1">
        <f>--ISNUMBER(SEARCH("Cloud",Table2[[#This Row],[platforms]]))</f>
        <v>0</v>
      </c>
      <c r="N76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77" spans="1:14" ht="221" x14ac:dyDescent="0.2">
      <c r="A77" t="str">
        <f t="shared" si="1"/>
        <v>076</v>
      </c>
      <c r="B77" s="1" t="s">
        <v>91</v>
      </c>
      <c r="C77" s="1" t="s">
        <v>214</v>
      </c>
      <c r="E77" t="s">
        <v>23</v>
      </c>
      <c r="F77" s="1" t="s">
        <v>217</v>
      </c>
      <c r="G77" s="1" t="s">
        <v>221</v>
      </c>
      <c r="H77" s="1">
        <f>--ISNUMBER(SEARCH("Windows",Table2[[#This Row],[platforms]]))</f>
        <v>0</v>
      </c>
      <c r="I77" s="1">
        <f>--ISNUMBER(SEARCH("Android",Table2[[#This Row],[platforms]]))</f>
        <v>0</v>
      </c>
      <c r="J77" s="1">
        <f>--ISNUMBER(SEARCH("Linux",Table2[[#This Row],[platforms]]))</f>
        <v>0</v>
      </c>
      <c r="K77" s="1">
        <f>--ISNUMBER(SEARCH("iOS",Table2[[#This Row],[platforms]]))</f>
        <v>0</v>
      </c>
      <c r="L77" s="1">
        <f>--ISNUMBER(SEARCH("macOS",Table2[[#This Row],[platforms]]))</f>
        <v>0</v>
      </c>
      <c r="M77" s="1">
        <f>--ISNUMBER(SEARCH("Cloud",Table2[[#This Row],[platforms]]))</f>
        <v>0</v>
      </c>
      <c r="N77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78" spans="1:14" ht="255" x14ac:dyDescent="0.2">
      <c r="A78" t="str">
        <f t="shared" si="1"/>
        <v>077</v>
      </c>
      <c r="B78" s="1" t="s">
        <v>92</v>
      </c>
      <c r="C78" s="1" t="s">
        <v>31</v>
      </c>
      <c r="E78" t="s">
        <v>57</v>
      </c>
      <c r="F78" s="1" t="s">
        <v>216</v>
      </c>
      <c r="G78" s="1" t="s">
        <v>238</v>
      </c>
      <c r="H78" s="1">
        <f>--ISNUMBER(SEARCH("Windows",Table2[[#This Row],[platforms]]))</f>
        <v>0</v>
      </c>
      <c r="I78" s="1">
        <f>--ISNUMBER(SEARCH("Android",Table2[[#This Row],[platforms]]))</f>
        <v>0</v>
      </c>
      <c r="J78" s="1">
        <f>--ISNUMBER(SEARCH("Linux",Table2[[#This Row],[platforms]]))</f>
        <v>1</v>
      </c>
      <c r="K78" s="1">
        <f>--ISNUMBER(SEARCH("iOS",Table2[[#This Row],[platforms]]))</f>
        <v>0</v>
      </c>
      <c r="L78" s="1">
        <f>--ISNUMBER(SEARCH("macOS",Table2[[#This Row],[platforms]]))</f>
        <v>0</v>
      </c>
      <c r="M78" s="1">
        <f>--ISNUMBER(SEARCH("Cloud",Table2[[#This Row],[platforms]]))</f>
        <v>0</v>
      </c>
      <c r="N78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79" spans="1:14" ht="255" x14ac:dyDescent="0.2">
      <c r="A79" t="str">
        <f t="shared" si="1"/>
        <v>078</v>
      </c>
      <c r="B79" s="1" t="s">
        <v>93</v>
      </c>
      <c r="C79" s="1" t="s">
        <v>214</v>
      </c>
      <c r="D79" t="s">
        <v>29</v>
      </c>
      <c r="E79" t="s">
        <v>57</v>
      </c>
      <c r="F79" s="1" t="s">
        <v>217</v>
      </c>
      <c r="G79" s="1" t="s">
        <v>221</v>
      </c>
      <c r="H79" s="1">
        <f>--ISNUMBER(SEARCH("Windows",Table2[[#This Row],[platforms]]))</f>
        <v>0</v>
      </c>
      <c r="I79" s="1">
        <f>--ISNUMBER(SEARCH("Android",Table2[[#This Row],[platforms]]))</f>
        <v>0</v>
      </c>
      <c r="J79" s="1">
        <f>--ISNUMBER(SEARCH("Linux",Table2[[#This Row],[platforms]]))</f>
        <v>0</v>
      </c>
      <c r="K79" s="1">
        <f>--ISNUMBER(SEARCH("iOS",Table2[[#This Row],[platforms]]))</f>
        <v>0</v>
      </c>
      <c r="L79" s="1">
        <f>--ISNUMBER(SEARCH("macOS",Table2[[#This Row],[platforms]]))</f>
        <v>0</v>
      </c>
      <c r="M79" s="1">
        <f>--ISNUMBER(SEARCH("Cloud",Table2[[#This Row],[platforms]]))</f>
        <v>0</v>
      </c>
      <c r="N79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80" spans="1:14" ht="272" x14ac:dyDescent="0.2">
      <c r="A80" t="str">
        <f t="shared" si="1"/>
        <v>079</v>
      </c>
      <c r="B80" s="1" t="s">
        <v>94</v>
      </c>
      <c r="C80" s="1" t="s">
        <v>214</v>
      </c>
      <c r="D80" t="s">
        <v>29</v>
      </c>
      <c r="E80" t="s">
        <v>23</v>
      </c>
      <c r="F80" s="1" t="s">
        <v>217</v>
      </c>
      <c r="G80" s="1" t="s">
        <v>221</v>
      </c>
      <c r="H80" s="1">
        <f>--ISNUMBER(SEARCH("Windows",Table2[[#This Row],[platforms]]))</f>
        <v>0</v>
      </c>
      <c r="I80" s="1">
        <f>--ISNUMBER(SEARCH("Android",Table2[[#This Row],[platforms]]))</f>
        <v>0</v>
      </c>
      <c r="J80" s="1">
        <f>--ISNUMBER(SEARCH("Linux",Table2[[#This Row],[platforms]]))</f>
        <v>0</v>
      </c>
      <c r="K80" s="1">
        <f>--ISNUMBER(SEARCH("iOS",Table2[[#This Row],[platforms]]))</f>
        <v>0</v>
      </c>
      <c r="L80" s="1">
        <f>--ISNUMBER(SEARCH("macOS",Table2[[#This Row],[platforms]]))</f>
        <v>0</v>
      </c>
      <c r="M80" s="1">
        <f>--ISNUMBER(SEARCH("Cloud",Table2[[#This Row],[platforms]]))</f>
        <v>0</v>
      </c>
      <c r="N80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81" spans="1:14" ht="272" x14ac:dyDescent="0.2">
      <c r="A81" t="str">
        <f t="shared" si="1"/>
        <v>080</v>
      </c>
      <c r="B81" s="1" t="s">
        <v>95</v>
      </c>
      <c r="C81" s="1" t="s">
        <v>214</v>
      </c>
      <c r="D81" t="s">
        <v>29</v>
      </c>
      <c r="E81" s="2" t="s">
        <v>6</v>
      </c>
      <c r="F81" s="1" t="s">
        <v>217</v>
      </c>
      <c r="G81" s="1" t="s">
        <v>221</v>
      </c>
      <c r="H81" s="1">
        <f>--ISNUMBER(SEARCH("Windows",Table2[[#This Row],[platforms]]))</f>
        <v>0</v>
      </c>
      <c r="I81" s="1">
        <f>--ISNUMBER(SEARCH("Android",Table2[[#This Row],[platforms]]))</f>
        <v>0</v>
      </c>
      <c r="J81" s="1">
        <f>--ISNUMBER(SEARCH("Linux",Table2[[#This Row],[platforms]]))</f>
        <v>0</v>
      </c>
      <c r="K81" s="1">
        <f>--ISNUMBER(SEARCH("iOS",Table2[[#This Row],[platforms]]))</f>
        <v>0</v>
      </c>
      <c r="L81" s="1">
        <f>--ISNUMBER(SEARCH("macOS",Table2[[#This Row],[platforms]]))</f>
        <v>0</v>
      </c>
      <c r="M81" s="1">
        <f>--ISNUMBER(SEARCH("Cloud",Table2[[#This Row],[platforms]]))</f>
        <v>0</v>
      </c>
      <c r="N81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82" spans="1:14" ht="272" x14ac:dyDescent="0.2">
      <c r="A82" t="str">
        <f t="shared" si="1"/>
        <v>081</v>
      </c>
      <c r="B82" s="1" t="s">
        <v>96</v>
      </c>
      <c r="C82" s="1" t="s">
        <v>214</v>
      </c>
      <c r="D82" t="s">
        <v>29</v>
      </c>
      <c r="E82" t="s">
        <v>23</v>
      </c>
      <c r="F82" s="1" t="s">
        <v>217</v>
      </c>
      <c r="G82" s="1" t="s">
        <v>221</v>
      </c>
      <c r="H82" s="1">
        <f>--ISNUMBER(SEARCH("Windows",Table2[[#This Row],[platforms]]))</f>
        <v>0</v>
      </c>
      <c r="I82" s="1">
        <f>--ISNUMBER(SEARCH("Android",Table2[[#This Row],[platforms]]))</f>
        <v>0</v>
      </c>
      <c r="J82" s="1">
        <f>--ISNUMBER(SEARCH("Linux",Table2[[#This Row],[platforms]]))</f>
        <v>0</v>
      </c>
      <c r="K82" s="1">
        <f>--ISNUMBER(SEARCH("iOS",Table2[[#This Row],[platforms]]))</f>
        <v>0</v>
      </c>
      <c r="L82" s="1">
        <f>--ISNUMBER(SEARCH("macOS",Table2[[#This Row],[platforms]]))</f>
        <v>0</v>
      </c>
      <c r="M82" s="1">
        <f>--ISNUMBER(SEARCH("Cloud",Table2[[#This Row],[platforms]]))</f>
        <v>0</v>
      </c>
      <c r="N8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83" spans="1:14" ht="204" x14ac:dyDescent="0.2">
      <c r="A83" t="str">
        <f t="shared" si="1"/>
        <v>082</v>
      </c>
      <c r="B83" s="1" t="s">
        <v>97</v>
      </c>
      <c r="C83" s="1" t="s">
        <v>214</v>
      </c>
      <c r="E83" t="s">
        <v>57</v>
      </c>
      <c r="F83" s="1" t="s">
        <v>217</v>
      </c>
      <c r="G83" s="1" t="s">
        <v>221</v>
      </c>
      <c r="H83" s="1">
        <f>--ISNUMBER(SEARCH("Windows",Table2[[#This Row],[platforms]]))</f>
        <v>0</v>
      </c>
      <c r="I83" s="1">
        <f>--ISNUMBER(SEARCH("Android",Table2[[#This Row],[platforms]]))</f>
        <v>0</v>
      </c>
      <c r="J83" s="1">
        <f>--ISNUMBER(SEARCH("Linux",Table2[[#This Row],[platforms]]))</f>
        <v>0</v>
      </c>
      <c r="K83" s="1">
        <f>--ISNUMBER(SEARCH("iOS",Table2[[#This Row],[platforms]]))</f>
        <v>0</v>
      </c>
      <c r="L83" s="1">
        <f>--ISNUMBER(SEARCH("macOS",Table2[[#This Row],[platforms]]))</f>
        <v>0</v>
      </c>
      <c r="M83" s="1">
        <f>--ISNUMBER(SEARCH("Cloud",Table2[[#This Row],[platforms]]))</f>
        <v>0</v>
      </c>
      <c r="N8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84" spans="1:14" ht="238" x14ac:dyDescent="0.2">
      <c r="A84" t="str">
        <f t="shared" si="1"/>
        <v>083</v>
      </c>
      <c r="B84" s="1" t="s">
        <v>98</v>
      </c>
      <c r="C84" s="1" t="s">
        <v>8</v>
      </c>
      <c r="E84" s="2" t="s">
        <v>6</v>
      </c>
      <c r="F84" s="1" t="s">
        <v>216</v>
      </c>
      <c r="G84" s="1" t="s">
        <v>238</v>
      </c>
      <c r="H84" s="1">
        <f>--ISNUMBER(SEARCH("Windows",Table2[[#This Row],[platforms]]))</f>
        <v>0</v>
      </c>
      <c r="I84" s="1">
        <f>--ISNUMBER(SEARCH("Android",Table2[[#This Row],[platforms]]))</f>
        <v>0</v>
      </c>
      <c r="J84" s="1">
        <f>--ISNUMBER(SEARCH("Linux",Table2[[#This Row],[platforms]]))</f>
        <v>1</v>
      </c>
      <c r="K84" s="1">
        <f>--ISNUMBER(SEARCH("iOS",Table2[[#This Row],[platforms]]))</f>
        <v>0</v>
      </c>
      <c r="L84" s="1">
        <f>--ISNUMBER(SEARCH("macOS",Table2[[#This Row],[platforms]]))</f>
        <v>0</v>
      </c>
      <c r="M84" s="1">
        <f>--ISNUMBER(SEARCH("Cloud",Table2[[#This Row],[platforms]]))</f>
        <v>0</v>
      </c>
      <c r="N84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85" spans="1:14" ht="187" x14ac:dyDescent="0.2">
      <c r="A85" t="str">
        <f t="shared" si="1"/>
        <v>084</v>
      </c>
      <c r="B85" s="1" t="s">
        <v>99</v>
      </c>
      <c r="C85" s="1" t="s">
        <v>214</v>
      </c>
      <c r="D85" t="s">
        <v>29</v>
      </c>
      <c r="E85" t="s">
        <v>23</v>
      </c>
      <c r="F85" s="1" t="s">
        <v>217</v>
      </c>
      <c r="G85" s="1" t="s">
        <v>221</v>
      </c>
      <c r="H85" s="1">
        <f>--ISNUMBER(SEARCH("Windows",Table2[[#This Row],[platforms]]))</f>
        <v>0</v>
      </c>
      <c r="I85" s="1">
        <f>--ISNUMBER(SEARCH("Android",Table2[[#This Row],[platforms]]))</f>
        <v>0</v>
      </c>
      <c r="J85" s="1">
        <f>--ISNUMBER(SEARCH("Linux",Table2[[#This Row],[platforms]]))</f>
        <v>0</v>
      </c>
      <c r="K85" s="1">
        <f>--ISNUMBER(SEARCH("iOS",Table2[[#This Row],[platforms]]))</f>
        <v>0</v>
      </c>
      <c r="L85" s="1">
        <f>--ISNUMBER(SEARCH("macOS",Table2[[#This Row],[platforms]]))</f>
        <v>0</v>
      </c>
      <c r="M85" s="1">
        <f>--ISNUMBER(SEARCH("Cloud",Table2[[#This Row],[platforms]]))</f>
        <v>0</v>
      </c>
      <c r="N85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86" spans="1:14" ht="221" x14ac:dyDescent="0.2">
      <c r="A86" t="str">
        <f t="shared" si="1"/>
        <v>085</v>
      </c>
      <c r="B86" s="1" t="s">
        <v>100</v>
      </c>
      <c r="C86" s="1" t="s">
        <v>101</v>
      </c>
      <c r="D86" s="1"/>
      <c r="E86" s="1" t="s">
        <v>23</v>
      </c>
      <c r="F86" s="1" t="s">
        <v>216</v>
      </c>
      <c r="G86" t="s">
        <v>235</v>
      </c>
      <c r="H86" s="1">
        <f>--ISNUMBER(SEARCH("Windows",Table2[[#This Row],[platforms]]))</f>
        <v>1</v>
      </c>
      <c r="I86" s="1">
        <f>--ISNUMBER(SEARCH("Android",Table2[[#This Row],[platforms]]))</f>
        <v>0</v>
      </c>
      <c r="J86" s="1">
        <f>--ISNUMBER(SEARCH("Linux",Table2[[#This Row],[platforms]]))</f>
        <v>1</v>
      </c>
      <c r="K86" s="1">
        <f>--ISNUMBER(SEARCH("iOS",Table2[[#This Row],[platforms]]))</f>
        <v>0</v>
      </c>
      <c r="L86" s="1">
        <f>--ISNUMBER(SEARCH("macOS",Table2[[#This Row],[platforms]]))</f>
        <v>0</v>
      </c>
      <c r="M86" s="1">
        <f>--ISNUMBER(SEARCH("Cloud",Table2[[#This Row],[platforms]]))</f>
        <v>0</v>
      </c>
      <c r="N86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87" spans="1:14" ht="221" x14ac:dyDescent="0.2">
      <c r="A87" t="str">
        <f t="shared" si="1"/>
        <v>086</v>
      </c>
      <c r="B87" s="1" t="s">
        <v>102</v>
      </c>
      <c r="C87" s="1" t="s">
        <v>214</v>
      </c>
      <c r="E87" t="s">
        <v>213</v>
      </c>
      <c r="F87" s="1" t="s">
        <v>217</v>
      </c>
      <c r="G87" s="1" t="s">
        <v>221</v>
      </c>
      <c r="H87" s="1">
        <f>--ISNUMBER(SEARCH("Windows",Table2[[#This Row],[platforms]]))</f>
        <v>0</v>
      </c>
      <c r="I87" s="1">
        <f>--ISNUMBER(SEARCH("Android",Table2[[#This Row],[platforms]]))</f>
        <v>0</v>
      </c>
      <c r="J87" s="1">
        <f>--ISNUMBER(SEARCH("Linux",Table2[[#This Row],[platforms]]))</f>
        <v>0</v>
      </c>
      <c r="K87" s="1">
        <f>--ISNUMBER(SEARCH("iOS",Table2[[#This Row],[platforms]]))</f>
        <v>0</v>
      </c>
      <c r="L87" s="1">
        <f>--ISNUMBER(SEARCH("macOS",Table2[[#This Row],[platforms]]))</f>
        <v>0</v>
      </c>
      <c r="M87" s="1">
        <f>--ISNUMBER(SEARCH("Cloud",Table2[[#This Row],[platforms]]))</f>
        <v>0</v>
      </c>
      <c r="N87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88" spans="1:14" ht="136" x14ac:dyDescent="0.2">
      <c r="A88" t="str">
        <f t="shared" si="1"/>
        <v>087</v>
      </c>
      <c r="B88" s="1" t="s">
        <v>103</v>
      </c>
      <c r="C88" s="1" t="s">
        <v>214</v>
      </c>
      <c r="D88" t="s">
        <v>29</v>
      </c>
      <c r="E88" t="s">
        <v>23</v>
      </c>
      <c r="F88" s="1" t="s">
        <v>217</v>
      </c>
      <c r="G88" s="1" t="s">
        <v>221</v>
      </c>
      <c r="H88" s="1">
        <f>--ISNUMBER(SEARCH("Windows",Table2[[#This Row],[platforms]]))</f>
        <v>0</v>
      </c>
      <c r="I88" s="1">
        <f>--ISNUMBER(SEARCH("Android",Table2[[#This Row],[platforms]]))</f>
        <v>0</v>
      </c>
      <c r="J88" s="1">
        <f>--ISNUMBER(SEARCH("Linux",Table2[[#This Row],[platforms]]))</f>
        <v>0</v>
      </c>
      <c r="K88" s="1">
        <f>--ISNUMBER(SEARCH("iOS",Table2[[#This Row],[platforms]]))</f>
        <v>0</v>
      </c>
      <c r="L88" s="1">
        <f>--ISNUMBER(SEARCH("macOS",Table2[[#This Row],[platforms]]))</f>
        <v>0</v>
      </c>
      <c r="M88" s="1">
        <f>--ISNUMBER(SEARCH("Cloud",Table2[[#This Row],[platforms]]))</f>
        <v>0</v>
      </c>
      <c r="N8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89" spans="1:14" ht="153" x14ac:dyDescent="0.2">
      <c r="A89" t="str">
        <f t="shared" si="1"/>
        <v>088</v>
      </c>
      <c r="B89" s="1" t="s">
        <v>104</v>
      </c>
      <c r="C89" s="1" t="s">
        <v>214</v>
      </c>
      <c r="E89" t="s">
        <v>16</v>
      </c>
      <c r="F89" s="1" t="s">
        <v>217</v>
      </c>
      <c r="G89" s="1" t="s">
        <v>221</v>
      </c>
      <c r="H89" s="1">
        <f>--ISNUMBER(SEARCH("Windows",Table2[[#This Row],[platforms]]))</f>
        <v>0</v>
      </c>
      <c r="I89" s="1">
        <f>--ISNUMBER(SEARCH("Android",Table2[[#This Row],[platforms]]))</f>
        <v>0</v>
      </c>
      <c r="J89" s="1">
        <f>--ISNUMBER(SEARCH("Linux",Table2[[#This Row],[platforms]]))</f>
        <v>0</v>
      </c>
      <c r="K89" s="1">
        <f>--ISNUMBER(SEARCH("iOS",Table2[[#This Row],[platforms]]))</f>
        <v>0</v>
      </c>
      <c r="L89" s="1">
        <f>--ISNUMBER(SEARCH("macOS",Table2[[#This Row],[platforms]]))</f>
        <v>0</v>
      </c>
      <c r="M89" s="1">
        <f>--ISNUMBER(SEARCH("Cloud",Table2[[#This Row],[platforms]]))</f>
        <v>0</v>
      </c>
      <c r="N89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90" spans="1:14" ht="272" x14ac:dyDescent="0.2">
      <c r="A90" t="str">
        <f t="shared" si="1"/>
        <v>089</v>
      </c>
      <c r="B90" s="3" t="s">
        <v>105</v>
      </c>
      <c r="C90" s="1" t="s">
        <v>10</v>
      </c>
      <c r="D90" s="1"/>
      <c r="E90" t="s">
        <v>213</v>
      </c>
      <c r="F90" s="1" t="s">
        <v>10</v>
      </c>
      <c r="G90" s="1" t="s">
        <v>234</v>
      </c>
      <c r="H90" s="1">
        <f>--ISNUMBER(SEARCH("Windows",Table2[[#This Row],[platforms]]))</f>
        <v>0</v>
      </c>
      <c r="I90" s="1">
        <f>--ISNUMBER(SEARCH("Android",Table2[[#This Row],[platforms]]))</f>
        <v>1</v>
      </c>
      <c r="J90" s="1">
        <f>--ISNUMBER(SEARCH("Linux",Table2[[#This Row],[platforms]]))</f>
        <v>0</v>
      </c>
      <c r="K90" s="1">
        <f>--ISNUMBER(SEARCH("iOS",Table2[[#This Row],[platforms]]))</f>
        <v>0</v>
      </c>
      <c r="L90" s="1">
        <f>--ISNUMBER(SEARCH("macOS",Table2[[#This Row],[platforms]]))</f>
        <v>0</v>
      </c>
      <c r="M90" s="1">
        <f>--ISNUMBER(SEARCH("Cloud",Table2[[#This Row],[platforms]]))</f>
        <v>0</v>
      </c>
      <c r="N90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91" spans="1:14" ht="170" x14ac:dyDescent="0.2">
      <c r="A91" t="str">
        <f t="shared" si="1"/>
        <v>090</v>
      </c>
      <c r="B91" s="1" t="s">
        <v>106</v>
      </c>
      <c r="C91" s="1" t="s">
        <v>5</v>
      </c>
      <c r="E91" s="2" t="s">
        <v>6</v>
      </c>
      <c r="F91" s="1" t="s">
        <v>216</v>
      </c>
      <c r="G91" s="1" t="s">
        <v>232</v>
      </c>
      <c r="H91" s="1">
        <f>--ISNUMBER(SEARCH("Windows",Table2[[#This Row],[platforms]]))</f>
        <v>1</v>
      </c>
      <c r="I91" s="1">
        <f>--ISNUMBER(SEARCH("Android",Table2[[#This Row],[platforms]]))</f>
        <v>0</v>
      </c>
      <c r="J91" s="1">
        <f>--ISNUMBER(SEARCH("Linux",Table2[[#This Row],[platforms]]))</f>
        <v>0</v>
      </c>
      <c r="K91" s="1">
        <f>--ISNUMBER(SEARCH("iOS",Table2[[#This Row],[platforms]]))</f>
        <v>0</v>
      </c>
      <c r="L91" s="1">
        <f>--ISNUMBER(SEARCH("macOS",Table2[[#This Row],[platforms]]))</f>
        <v>0</v>
      </c>
      <c r="M91" s="1">
        <f>--ISNUMBER(SEARCH("Cloud",Table2[[#This Row],[platforms]]))</f>
        <v>0</v>
      </c>
      <c r="N91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92" spans="1:14" ht="255" x14ac:dyDescent="0.2">
      <c r="A92" t="str">
        <f t="shared" si="1"/>
        <v>091</v>
      </c>
      <c r="B92" s="1" t="s">
        <v>107</v>
      </c>
      <c r="C92" s="1" t="s">
        <v>8</v>
      </c>
      <c r="E92" s="2" t="s">
        <v>6</v>
      </c>
      <c r="F92" s="1" t="s">
        <v>217</v>
      </c>
      <c r="G92" s="1" t="s">
        <v>221</v>
      </c>
      <c r="H92" s="1">
        <f>--ISNUMBER(SEARCH("Windows",Table2[[#This Row],[platforms]]))</f>
        <v>0</v>
      </c>
      <c r="I92" s="1">
        <f>--ISNUMBER(SEARCH("Android",Table2[[#This Row],[platforms]]))</f>
        <v>0</v>
      </c>
      <c r="J92" s="1">
        <f>--ISNUMBER(SEARCH("Linux",Table2[[#This Row],[platforms]]))</f>
        <v>0</v>
      </c>
      <c r="K92" s="1">
        <f>--ISNUMBER(SEARCH("iOS",Table2[[#This Row],[platforms]]))</f>
        <v>0</v>
      </c>
      <c r="L92" s="1">
        <f>--ISNUMBER(SEARCH("macOS",Table2[[#This Row],[platforms]]))</f>
        <v>0</v>
      </c>
      <c r="M92" s="1">
        <f>--ISNUMBER(SEARCH("Cloud",Table2[[#This Row],[platforms]]))</f>
        <v>0</v>
      </c>
      <c r="N9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93" spans="1:14" ht="221" x14ac:dyDescent="0.2">
      <c r="A93" t="str">
        <f t="shared" si="1"/>
        <v>092</v>
      </c>
      <c r="B93" s="1" t="s">
        <v>108</v>
      </c>
      <c r="C93" s="1" t="s">
        <v>5</v>
      </c>
      <c r="D93" s="1"/>
      <c r="E93" s="2" t="s">
        <v>6</v>
      </c>
      <c r="F93" s="1" t="s">
        <v>216</v>
      </c>
      <c r="G93" s="1" t="s">
        <v>235</v>
      </c>
      <c r="H93" s="1">
        <f>--ISNUMBER(SEARCH("Windows",Table2[[#This Row],[platforms]]))</f>
        <v>1</v>
      </c>
      <c r="I93" s="1">
        <f>--ISNUMBER(SEARCH("Android",Table2[[#This Row],[platforms]]))</f>
        <v>0</v>
      </c>
      <c r="J93" s="1">
        <f>--ISNUMBER(SEARCH("Linux",Table2[[#This Row],[platforms]]))</f>
        <v>1</v>
      </c>
      <c r="K93" s="1">
        <f>--ISNUMBER(SEARCH("iOS",Table2[[#This Row],[platforms]]))</f>
        <v>0</v>
      </c>
      <c r="L93" s="1">
        <f>--ISNUMBER(SEARCH("macOS",Table2[[#This Row],[platforms]]))</f>
        <v>0</v>
      </c>
      <c r="M93" s="1">
        <f>--ISNUMBER(SEARCH("Cloud",Table2[[#This Row],[platforms]]))</f>
        <v>0</v>
      </c>
      <c r="N93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94" spans="1:14" ht="187" x14ac:dyDescent="0.2">
      <c r="A94" t="str">
        <f t="shared" si="1"/>
        <v>093</v>
      </c>
      <c r="B94" s="1" t="s">
        <v>109</v>
      </c>
      <c r="C94" s="1" t="s">
        <v>31</v>
      </c>
      <c r="D94" s="1"/>
      <c r="E94" s="2" t="s">
        <v>6</v>
      </c>
      <c r="F94" s="1" t="s">
        <v>217</v>
      </c>
      <c r="G94" s="1" t="s">
        <v>221</v>
      </c>
      <c r="H94" s="1">
        <f>--ISNUMBER(SEARCH("Windows",Table2[[#This Row],[platforms]]))</f>
        <v>0</v>
      </c>
      <c r="I94" s="1">
        <f>--ISNUMBER(SEARCH("Android",Table2[[#This Row],[platforms]]))</f>
        <v>0</v>
      </c>
      <c r="J94" s="1">
        <f>--ISNUMBER(SEARCH("Linux",Table2[[#This Row],[platforms]]))</f>
        <v>0</v>
      </c>
      <c r="K94" s="1">
        <f>--ISNUMBER(SEARCH("iOS",Table2[[#This Row],[platforms]]))</f>
        <v>0</v>
      </c>
      <c r="L94" s="1">
        <f>--ISNUMBER(SEARCH("macOS",Table2[[#This Row],[platforms]]))</f>
        <v>0</v>
      </c>
      <c r="M94" s="1">
        <f>--ISNUMBER(SEARCH("Cloud",Table2[[#This Row],[platforms]]))</f>
        <v>0</v>
      </c>
      <c r="N94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95" spans="1:14" ht="272" x14ac:dyDescent="0.2">
      <c r="A95" t="str">
        <f t="shared" si="1"/>
        <v>094</v>
      </c>
      <c r="B95" s="1" t="s">
        <v>110</v>
      </c>
      <c r="C95" s="1" t="s">
        <v>10</v>
      </c>
      <c r="D95" s="1"/>
      <c r="E95" s="1" t="s">
        <v>23</v>
      </c>
      <c r="F95" s="1" t="s">
        <v>10</v>
      </c>
      <c r="G95" s="1" t="s">
        <v>234</v>
      </c>
      <c r="H95" s="1">
        <f>--ISNUMBER(SEARCH("Windows",Table2[[#This Row],[platforms]]))</f>
        <v>0</v>
      </c>
      <c r="I95" s="1">
        <f>--ISNUMBER(SEARCH("Android",Table2[[#This Row],[platforms]]))</f>
        <v>1</v>
      </c>
      <c r="J95" s="1">
        <f>--ISNUMBER(SEARCH("Linux",Table2[[#This Row],[platforms]]))</f>
        <v>0</v>
      </c>
      <c r="K95" s="1">
        <f>--ISNUMBER(SEARCH("iOS",Table2[[#This Row],[platforms]]))</f>
        <v>0</v>
      </c>
      <c r="L95" s="1">
        <f>--ISNUMBER(SEARCH("macOS",Table2[[#This Row],[platforms]]))</f>
        <v>0</v>
      </c>
      <c r="M95" s="1">
        <f>--ISNUMBER(SEARCH("Cloud",Table2[[#This Row],[platforms]]))</f>
        <v>0</v>
      </c>
      <c r="N95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96" spans="1:14" ht="221" x14ac:dyDescent="0.2">
      <c r="A96" t="str">
        <f t="shared" si="1"/>
        <v>095</v>
      </c>
      <c r="B96" s="1" t="s">
        <v>111</v>
      </c>
      <c r="C96" s="1" t="s">
        <v>5</v>
      </c>
      <c r="E96" s="2" t="s">
        <v>6</v>
      </c>
      <c r="F96" s="1" t="s">
        <v>216</v>
      </c>
      <c r="G96" s="1" t="s">
        <v>235</v>
      </c>
      <c r="H96" s="1">
        <f>--ISNUMBER(SEARCH("Windows",Table2[[#This Row],[platforms]]))</f>
        <v>1</v>
      </c>
      <c r="I96" s="1">
        <f>--ISNUMBER(SEARCH("Android",Table2[[#This Row],[platforms]]))</f>
        <v>0</v>
      </c>
      <c r="J96" s="1">
        <f>--ISNUMBER(SEARCH("Linux",Table2[[#This Row],[platforms]]))</f>
        <v>1</v>
      </c>
      <c r="K96" s="1">
        <f>--ISNUMBER(SEARCH("iOS",Table2[[#This Row],[platforms]]))</f>
        <v>0</v>
      </c>
      <c r="L96" s="1">
        <f>--ISNUMBER(SEARCH("macOS",Table2[[#This Row],[platforms]]))</f>
        <v>0</v>
      </c>
      <c r="M96" s="1">
        <f>--ISNUMBER(SEARCH("Cloud",Table2[[#This Row],[platforms]]))</f>
        <v>0</v>
      </c>
      <c r="N96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97" spans="1:14" ht="204" x14ac:dyDescent="0.2">
      <c r="A97" t="str">
        <f t="shared" si="1"/>
        <v>096</v>
      </c>
      <c r="B97" s="1" t="s">
        <v>112</v>
      </c>
      <c r="C97" s="1" t="s">
        <v>214</v>
      </c>
      <c r="D97" s="1"/>
      <c r="E97" s="1" t="s">
        <v>57</v>
      </c>
      <c r="F97" s="1" t="s">
        <v>217</v>
      </c>
      <c r="G97" s="1" t="s">
        <v>221</v>
      </c>
      <c r="H97" s="1">
        <f>--ISNUMBER(SEARCH("Windows",Table2[[#This Row],[platforms]]))</f>
        <v>0</v>
      </c>
      <c r="I97" s="1">
        <f>--ISNUMBER(SEARCH("Android",Table2[[#This Row],[platforms]]))</f>
        <v>0</v>
      </c>
      <c r="J97" s="1">
        <f>--ISNUMBER(SEARCH("Linux",Table2[[#This Row],[platforms]]))</f>
        <v>0</v>
      </c>
      <c r="K97" s="1">
        <f>--ISNUMBER(SEARCH("iOS",Table2[[#This Row],[platforms]]))</f>
        <v>0</v>
      </c>
      <c r="L97" s="1">
        <f>--ISNUMBER(SEARCH("macOS",Table2[[#This Row],[platforms]]))</f>
        <v>0</v>
      </c>
      <c r="M97" s="1">
        <f>--ISNUMBER(SEARCH("Cloud",Table2[[#This Row],[platforms]]))</f>
        <v>0</v>
      </c>
      <c r="N97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98" spans="1:14" ht="255" x14ac:dyDescent="0.2">
      <c r="A98" t="str">
        <f t="shared" si="1"/>
        <v>097</v>
      </c>
      <c r="B98" s="1" t="s">
        <v>113</v>
      </c>
      <c r="C98" s="1" t="s">
        <v>5</v>
      </c>
      <c r="D98" s="1"/>
      <c r="E98" t="s">
        <v>213</v>
      </c>
      <c r="F98" s="1" t="s">
        <v>216</v>
      </c>
      <c r="G98" s="1" t="s">
        <v>232</v>
      </c>
      <c r="H98" s="1">
        <f>--ISNUMBER(SEARCH("Windows",Table2[[#This Row],[platforms]]))</f>
        <v>1</v>
      </c>
      <c r="I98" s="1">
        <f>--ISNUMBER(SEARCH("Android",Table2[[#This Row],[platforms]]))</f>
        <v>0</v>
      </c>
      <c r="J98" s="1">
        <f>--ISNUMBER(SEARCH("Linux",Table2[[#This Row],[platforms]]))</f>
        <v>0</v>
      </c>
      <c r="K98" s="1">
        <f>--ISNUMBER(SEARCH("iOS",Table2[[#This Row],[platforms]]))</f>
        <v>0</v>
      </c>
      <c r="L98" s="1">
        <f>--ISNUMBER(SEARCH("macOS",Table2[[#This Row],[platforms]]))</f>
        <v>0</v>
      </c>
      <c r="M98" s="1">
        <f>--ISNUMBER(SEARCH("Cloud",Table2[[#This Row],[platforms]]))</f>
        <v>0</v>
      </c>
      <c r="N98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99" spans="1:14" ht="204" x14ac:dyDescent="0.2">
      <c r="A99" t="str">
        <f t="shared" si="1"/>
        <v>098</v>
      </c>
      <c r="B99" s="1" t="s">
        <v>114</v>
      </c>
      <c r="C99" s="1" t="s">
        <v>8</v>
      </c>
      <c r="E99" t="s">
        <v>23</v>
      </c>
      <c r="F99" s="1" t="s">
        <v>217</v>
      </c>
      <c r="G99" s="1" t="s">
        <v>221</v>
      </c>
      <c r="H99" s="1">
        <f>--ISNUMBER(SEARCH("Windows",Table2[[#This Row],[platforms]]))</f>
        <v>0</v>
      </c>
      <c r="I99" s="1">
        <f>--ISNUMBER(SEARCH("Android",Table2[[#This Row],[platforms]]))</f>
        <v>0</v>
      </c>
      <c r="J99" s="1">
        <f>--ISNUMBER(SEARCH("Linux",Table2[[#This Row],[platforms]]))</f>
        <v>0</v>
      </c>
      <c r="K99" s="1">
        <f>--ISNUMBER(SEARCH("iOS",Table2[[#This Row],[platforms]]))</f>
        <v>0</v>
      </c>
      <c r="L99" s="1">
        <f>--ISNUMBER(SEARCH("macOS",Table2[[#This Row],[platforms]]))</f>
        <v>0</v>
      </c>
      <c r="M99" s="1">
        <f>--ISNUMBER(SEARCH("Cloud",Table2[[#This Row],[platforms]]))</f>
        <v>0</v>
      </c>
      <c r="N99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00" spans="1:14" ht="306" x14ac:dyDescent="0.2">
      <c r="A100" t="str">
        <f t="shared" si="1"/>
        <v>099</v>
      </c>
      <c r="B100" s="1" t="s">
        <v>115</v>
      </c>
      <c r="C100" s="1" t="s">
        <v>214</v>
      </c>
      <c r="E100" s="2" t="s">
        <v>6</v>
      </c>
      <c r="F100" s="1" t="s">
        <v>217</v>
      </c>
      <c r="G100" s="1" t="s">
        <v>221</v>
      </c>
      <c r="H100" s="1">
        <f>--ISNUMBER(SEARCH("Windows",Table2[[#This Row],[platforms]]))</f>
        <v>0</v>
      </c>
      <c r="I100" s="1">
        <f>--ISNUMBER(SEARCH("Android",Table2[[#This Row],[platforms]]))</f>
        <v>0</v>
      </c>
      <c r="J100" s="1">
        <f>--ISNUMBER(SEARCH("Linux",Table2[[#This Row],[platforms]]))</f>
        <v>0</v>
      </c>
      <c r="K100" s="1">
        <f>--ISNUMBER(SEARCH("iOS",Table2[[#This Row],[platforms]]))</f>
        <v>0</v>
      </c>
      <c r="L100" s="1">
        <f>--ISNUMBER(SEARCH("macOS",Table2[[#This Row],[platforms]]))</f>
        <v>0</v>
      </c>
      <c r="M100" s="1">
        <f>--ISNUMBER(SEARCH("Cloud",Table2[[#This Row],[platforms]]))</f>
        <v>0</v>
      </c>
      <c r="N100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01" spans="1:14" ht="306" x14ac:dyDescent="0.2">
      <c r="A101" t="str">
        <f t="shared" si="1"/>
        <v>100</v>
      </c>
      <c r="B101" s="1" t="s">
        <v>116</v>
      </c>
      <c r="C101" s="1" t="s">
        <v>214</v>
      </c>
      <c r="E101" t="s">
        <v>57</v>
      </c>
      <c r="F101" s="1" t="s">
        <v>217</v>
      </c>
      <c r="G101" s="1" t="s">
        <v>221</v>
      </c>
      <c r="H101" s="1">
        <f>--ISNUMBER(SEARCH("Windows",Table2[[#This Row],[platforms]]))</f>
        <v>0</v>
      </c>
      <c r="I101" s="1">
        <f>--ISNUMBER(SEARCH("Android",Table2[[#This Row],[platforms]]))</f>
        <v>0</v>
      </c>
      <c r="J101" s="1">
        <f>--ISNUMBER(SEARCH("Linux",Table2[[#This Row],[platforms]]))</f>
        <v>0</v>
      </c>
      <c r="K101" s="1">
        <f>--ISNUMBER(SEARCH("iOS",Table2[[#This Row],[platforms]]))</f>
        <v>0</v>
      </c>
      <c r="L101" s="1">
        <f>--ISNUMBER(SEARCH("macOS",Table2[[#This Row],[platforms]]))</f>
        <v>0</v>
      </c>
      <c r="M101" s="1">
        <f>--ISNUMBER(SEARCH("Cloud",Table2[[#This Row],[platforms]]))</f>
        <v>0</v>
      </c>
      <c r="N101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02" spans="1:14" ht="170" x14ac:dyDescent="0.2">
      <c r="A102" t="str">
        <f t="shared" si="1"/>
        <v>101</v>
      </c>
      <c r="B102" s="1" t="s">
        <v>117</v>
      </c>
      <c r="C102" s="1" t="s">
        <v>214</v>
      </c>
      <c r="E102" s="2" t="s">
        <v>6</v>
      </c>
      <c r="F102" s="1" t="s">
        <v>217</v>
      </c>
      <c r="G102" s="1" t="s">
        <v>221</v>
      </c>
      <c r="H102" s="1">
        <f>--ISNUMBER(SEARCH("Windows",Table2[[#This Row],[platforms]]))</f>
        <v>0</v>
      </c>
      <c r="I102" s="1">
        <f>--ISNUMBER(SEARCH("Android",Table2[[#This Row],[platforms]]))</f>
        <v>0</v>
      </c>
      <c r="J102" s="1">
        <f>--ISNUMBER(SEARCH("Linux",Table2[[#This Row],[platforms]]))</f>
        <v>0</v>
      </c>
      <c r="K102" s="1">
        <f>--ISNUMBER(SEARCH("iOS",Table2[[#This Row],[platforms]]))</f>
        <v>0</v>
      </c>
      <c r="L102" s="1">
        <f>--ISNUMBER(SEARCH("macOS",Table2[[#This Row],[platforms]]))</f>
        <v>0</v>
      </c>
      <c r="M102" s="1">
        <f>--ISNUMBER(SEARCH("Cloud",Table2[[#This Row],[platforms]]))</f>
        <v>0</v>
      </c>
      <c r="N10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03" spans="1:14" ht="221" x14ac:dyDescent="0.2">
      <c r="A103" t="str">
        <f t="shared" si="1"/>
        <v>102</v>
      </c>
      <c r="B103" s="1" t="s">
        <v>118</v>
      </c>
      <c r="C103" s="1" t="s">
        <v>214</v>
      </c>
      <c r="E103" s="2" t="s">
        <v>6</v>
      </c>
      <c r="F103" s="1" t="s">
        <v>217</v>
      </c>
      <c r="G103" s="1" t="s">
        <v>221</v>
      </c>
      <c r="H103" s="1">
        <f>--ISNUMBER(SEARCH("Windows",Table2[[#This Row],[platforms]]))</f>
        <v>0</v>
      </c>
      <c r="I103" s="1">
        <f>--ISNUMBER(SEARCH("Android",Table2[[#This Row],[platforms]]))</f>
        <v>0</v>
      </c>
      <c r="J103" s="1">
        <f>--ISNUMBER(SEARCH("Linux",Table2[[#This Row],[platforms]]))</f>
        <v>0</v>
      </c>
      <c r="K103" s="1">
        <f>--ISNUMBER(SEARCH("iOS",Table2[[#This Row],[platforms]]))</f>
        <v>0</v>
      </c>
      <c r="L103" s="1">
        <f>--ISNUMBER(SEARCH("macOS",Table2[[#This Row],[platforms]]))</f>
        <v>0</v>
      </c>
      <c r="M103" s="1">
        <f>--ISNUMBER(SEARCH("Cloud",Table2[[#This Row],[platforms]]))</f>
        <v>0</v>
      </c>
      <c r="N10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04" spans="1:14" ht="272" x14ac:dyDescent="0.2">
      <c r="A104" t="str">
        <f t="shared" si="1"/>
        <v>103</v>
      </c>
      <c r="B104" s="1" t="s">
        <v>119</v>
      </c>
      <c r="C104" s="1" t="s">
        <v>101</v>
      </c>
      <c r="E104" t="s">
        <v>23</v>
      </c>
      <c r="F104" s="1" t="s">
        <v>217</v>
      </c>
      <c r="G104" s="1" t="s">
        <v>221</v>
      </c>
      <c r="H104" s="1">
        <f>--ISNUMBER(SEARCH("Windows",Table2[[#This Row],[platforms]]))</f>
        <v>0</v>
      </c>
      <c r="I104" s="1">
        <f>--ISNUMBER(SEARCH("Android",Table2[[#This Row],[platforms]]))</f>
        <v>0</v>
      </c>
      <c r="J104" s="1">
        <f>--ISNUMBER(SEARCH("Linux",Table2[[#This Row],[platforms]]))</f>
        <v>0</v>
      </c>
      <c r="K104" s="1">
        <f>--ISNUMBER(SEARCH("iOS",Table2[[#This Row],[platforms]]))</f>
        <v>0</v>
      </c>
      <c r="L104" s="1">
        <f>--ISNUMBER(SEARCH("macOS",Table2[[#This Row],[platforms]]))</f>
        <v>0</v>
      </c>
      <c r="M104" s="1">
        <f>--ISNUMBER(SEARCH("Cloud",Table2[[#This Row],[platforms]]))</f>
        <v>0</v>
      </c>
      <c r="N104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05" spans="1:14" ht="204" x14ac:dyDescent="0.2">
      <c r="A105" t="str">
        <f t="shared" si="1"/>
        <v>104</v>
      </c>
      <c r="B105" s="1" t="s">
        <v>120</v>
      </c>
      <c r="C105" s="1" t="s">
        <v>31</v>
      </c>
      <c r="E105" t="s">
        <v>23</v>
      </c>
      <c r="F105" s="1" t="s">
        <v>217</v>
      </c>
      <c r="G105" s="1" t="s">
        <v>221</v>
      </c>
      <c r="H105" s="1">
        <f>--ISNUMBER(SEARCH("Windows",Table2[[#This Row],[platforms]]))</f>
        <v>0</v>
      </c>
      <c r="I105" s="1">
        <f>--ISNUMBER(SEARCH("Android",Table2[[#This Row],[platforms]]))</f>
        <v>0</v>
      </c>
      <c r="J105" s="1">
        <f>--ISNUMBER(SEARCH("Linux",Table2[[#This Row],[platforms]]))</f>
        <v>0</v>
      </c>
      <c r="K105" s="1">
        <f>--ISNUMBER(SEARCH("iOS",Table2[[#This Row],[platforms]]))</f>
        <v>0</v>
      </c>
      <c r="L105" s="1">
        <f>--ISNUMBER(SEARCH("macOS",Table2[[#This Row],[platforms]]))</f>
        <v>0</v>
      </c>
      <c r="M105" s="1">
        <f>--ISNUMBER(SEARCH("Cloud",Table2[[#This Row],[platforms]]))</f>
        <v>0</v>
      </c>
      <c r="N105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06" spans="1:14" ht="204" x14ac:dyDescent="0.2">
      <c r="A106" t="str">
        <f t="shared" si="1"/>
        <v>105</v>
      </c>
      <c r="B106" s="1" t="s">
        <v>121</v>
      </c>
      <c r="C106" s="1" t="s">
        <v>214</v>
      </c>
      <c r="D106" t="s">
        <v>29</v>
      </c>
      <c r="E106" t="s">
        <v>23</v>
      </c>
      <c r="F106" s="1" t="s">
        <v>217</v>
      </c>
      <c r="G106" s="1" t="s">
        <v>221</v>
      </c>
      <c r="H106" s="1">
        <f>--ISNUMBER(SEARCH("Windows",Table2[[#This Row],[platforms]]))</f>
        <v>0</v>
      </c>
      <c r="I106" s="1">
        <f>--ISNUMBER(SEARCH("Android",Table2[[#This Row],[platforms]]))</f>
        <v>0</v>
      </c>
      <c r="J106" s="1">
        <f>--ISNUMBER(SEARCH("Linux",Table2[[#This Row],[platforms]]))</f>
        <v>0</v>
      </c>
      <c r="K106" s="1">
        <f>--ISNUMBER(SEARCH("iOS",Table2[[#This Row],[platforms]]))</f>
        <v>0</v>
      </c>
      <c r="L106" s="1">
        <f>--ISNUMBER(SEARCH("macOS",Table2[[#This Row],[platforms]]))</f>
        <v>0</v>
      </c>
      <c r="M106" s="1">
        <f>--ISNUMBER(SEARCH("Cloud",Table2[[#This Row],[platforms]]))</f>
        <v>0</v>
      </c>
      <c r="N106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07" spans="1:14" ht="255" x14ac:dyDescent="0.2">
      <c r="A107" t="str">
        <f t="shared" si="1"/>
        <v>106</v>
      </c>
      <c r="B107" s="1" t="s">
        <v>122</v>
      </c>
      <c r="C107" s="1" t="s">
        <v>214</v>
      </c>
      <c r="D107" t="s">
        <v>29</v>
      </c>
      <c r="E107" t="s">
        <v>23</v>
      </c>
      <c r="F107" s="1" t="s">
        <v>217</v>
      </c>
      <c r="G107" s="1" t="s">
        <v>221</v>
      </c>
      <c r="H107" s="1">
        <f>--ISNUMBER(SEARCH("Windows",Table2[[#This Row],[platforms]]))</f>
        <v>0</v>
      </c>
      <c r="I107" s="1">
        <f>--ISNUMBER(SEARCH("Android",Table2[[#This Row],[platforms]]))</f>
        <v>0</v>
      </c>
      <c r="J107" s="1">
        <f>--ISNUMBER(SEARCH("Linux",Table2[[#This Row],[platforms]]))</f>
        <v>0</v>
      </c>
      <c r="K107" s="1">
        <f>--ISNUMBER(SEARCH("iOS",Table2[[#This Row],[platforms]]))</f>
        <v>0</v>
      </c>
      <c r="L107" s="1">
        <f>--ISNUMBER(SEARCH("macOS",Table2[[#This Row],[platforms]]))</f>
        <v>0</v>
      </c>
      <c r="M107" s="1">
        <f>--ISNUMBER(SEARCH("Cloud",Table2[[#This Row],[platforms]]))</f>
        <v>0</v>
      </c>
      <c r="N107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08" spans="1:14" ht="372" x14ac:dyDescent="0.2">
      <c r="A108" t="str">
        <f t="shared" si="1"/>
        <v>107</v>
      </c>
      <c r="B108" s="1" t="s">
        <v>123</v>
      </c>
      <c r="C108" s="1" t="s">
        <v>31</v>
      </c>
      <c r="D108" s="1"/>
      <c r="E108" s="1" t="s">
        <v>23</v>
      </c>
      <c r="F108" s="1" t="s">
        <v>217</v>
      </c>
      <c r="G108" s="1" t="s">
        <v>221</v>
      </c>
      <c r="H108" s="1">
        <f>--ISNUMBER(SEARCH("Windows",Table2[[#This Row],[platforms]]))</f>
        <v>0</v>
      </c>
      <c r="I108" s="1">
        <f>--ISNUMBER(SEARCH("Android",Table2[[#This Row],[platforms]]))</f>
        <v>0</v>
      </c>
      <c r="J108" s="1">
        <f>--ISNUMBER(SEARCH("Linux",Table2[[#This Row],[platforms]]))</f>
        <v>0</v>
      </c>
      <c r="K108" s="1">
        <f>--ISNUMBER(SEARCH("iOS",Table2[[#This Row],[platforms]]))</f>
        <v>0</v>
      </c>
      <c r="L108" s="1">
        <f>--ISNUMBER(SEARCH("macOS",Table2[[#This Row],[platforms]]))</f>
        <v>0</v>
      </c>
      <c r="M108" s="1">
        <f>--ISNUMBER(SEARCH("Cloud",Table2[[#This Row],[platforms]]))</f>
        <v>0</v>
      </c>
      <c r="N10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09" spans="1:14" ht="238" x14ac:dyDescent="0.2">
      <c r="A109" t="str">
        <f t="shared" si="1"/>
        <v>108</v>
      </c>
      <c r="B109" s="1" t="s">
        <v>124</v>
      </c>
      <c r="C109" s="1" t="s">
        <v>214</v>
      </c>
      <c r="D109" t="s">
        <v>29</v>
      </c>
      <c r="E109" s="2" t="s">
        <v>6</v>
      </c>
      <c r="F109" s="1" t="s">
        <v>217</v>
      </c>
      <c r="G109" s="1" t="s">
        <v>221</v>
      </c>
      <c r="H109" s="1">
        <f>--ISNUMBER(SEARCH("Windows",Table2[[#This Row],[platforms]]))</f>
        <v>0</v>
      </c>
      <c r="I109" s="1">
        <f>--ISNUMBER(SEARCH("Android",Table2[[#This Row],[platforms]]))</f>
        <v>0</v>
      </c>
      <c r="J109" s="1">
        <f>--ISNUMBER(SEARCH("Linux",Table2[[#This Row],[platforms]]))</f>
        <v>0</v>
      </c>
      <c r="K109" s="1">
        <f>--ISNUMBER(SEARCH("iOS",Table2[[#This Row],[platforms]]))</f>
        <v>0</v>
      </c>
      <c r="L109" s="1">
        <f>--ISNUMBER(SEARCH("macOS",Table2[[#This Row],[platforms]]))</f>
        <v>0</v>
      </c>
      <c r="M109" s="1">
        <f>--ISNUMBER(SEARCH("Cloud",Table2[[#This Row],[platforms]]))</f>
        <v>0</v>
      </c>
      <c r="N109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10" spans="1:14" ht="238" x14ac:dyDescent="0.2">
      <c r="A110" t="str">
        <f t="shared" si="1"/>
        <v>109</v>
      </c>
      <c r="B110" s="1" t="s">
        <v>125</v>
      </c>
      <c r="C110" s="1" t="s">
        <v>5</v>
      </c>
      <c r="E110" s="2" t="s">
        <v>6</v>
      </c>
      <c r="F110" s="1" t="s">
        <v>216</v>
      </c>
      <c r="G110" s="1" t="s">
        <v>232</v>
      </c>
      <c r="H110" s="1">
        <f>--ISNUMBER(SEARCH("Windows",Table2[[#This Row],[platforms]]))</f>
        <v>1</v>
      </c>
      <c r="I110" s="1">
        <f>--ISNUMBER(SEARCH("Android",Table2[[#This Row],[platforms]]))</f>
        <v>0</v>
      </c>
      <c r="J110" s="1">
        <f>--ISNUMBER(SEARCH("Linux",Table2[[#This Row],[platforms]]))</f>
        <v>0</v>
      </c>
      <c r="K110" s="1">
        <f>--ISNUMBER(SEARCH("iOS",Table2[[#This Row],[platforms]]))</f>
        <v>0</v>
      </c>
      <c r="L110" s="1">
        <f>--ISNUMBER(SEARCH("macOS",Table2[[#This Row],[platforms]]))</f>
        <v>0</v>
      </c>
      <c r="M110" s="1">
        <f>--ISNUMBER(SEARCH("Cloud",Table2[[#This Row],[platforms]]))</f>
        <v>0</v>
      </c>
      <c r="N110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11" spans="1:14" ht="204" x14ac:dyDescent="0.2">
      <c r="A111" t="str">
        <f t="shared" si="1"/>
        <v>110</v>
      </c>
      <c r="B111" s="1" t="s">
        <v>126</v>
      </c>
      <c r="C111" s="1" t="s">
        <v>214</v>
      </c>
      <c r="E111" t="s">
        <v>57</v>
      </c>
      <c r="F111" s="1" t="s">
        <v>217</v>
      </c>
      <c r="G111" s="1" t="s">
        <v>221</v>
      </c>
      <c r="H111" s="1">
        <f>--ISNUMBER(SEARCH("Windows",Table2[[#This Row],[platforms]]))</f>
        <v>0</v>
      </c>
      <c r="I111" s="1">
        <f>--ISNUMBER(SEARCH("Android",Table2[[#This Row],[platforms]]))</f>
        <v>0</v>
      </c>
      <c r="J111" s="1">
        <f>--ISNUMBER(SEARCH("Linux",Table2[[#This Row],[platforms]]))</f>
        <v>0</v>
      </c>
      <c r="K111" s="1">
        <f>--ISNUMBER(SEARCH("iOS",Table2[[#This Row],[platforms]]))</f>
        <v>0</v>
      </c>
      <c r="L111" s="1">
        <f>--ISNUMBER(SEARCH("macOS",Table2[[#This Row],[platforms]]))</f>
        <v>0</v>
      </c>
      <c r="M111" s="1">
        <f>--ISNUMBER(SEARCH("Cloud",Table2[[#This Row],[platforms]]))</f>
        <v>0</v>
      </c>
      <c r="N111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12" spans="1:14" ht="306" x14ac:dyDescent="0.2">
      <c r="A112" t="str">
        <f t="shared" si="1"/>
        <v>111</v>
      </c>
      <c r="B112" s="1" t="s">
        <v>127</v>
      </c>
      <c r="C112" s="1" t="s">
        <v>214</v>
      </c>
      <c r="D112" t="s">
        <v>29</v>
      </c>
      <c r="E112" s="2" t="s">
        <v>6</v>
      </c>
      <c r="F112" s="1" t="s">
        <v>217</v>
      </c>
      <c r="G112" s="1" t="s">
        <v>221</v>
      </c>
      <c r="H112" s="1">
        <f>--ISNUMBER(SEARCH("Windows",Table2[[#This Row],[platforms]]))</f>
        <v>0</v>
      </c>
      <c r="I112" s="1">
        <f>--ISNUMBER(SEARCH("Android",Table2[[#This Row],[platforms]]))</f>
        <v>0</v>
      </c>
      <c r="J112" s="1">
        <f>--ISNUMBER(SEARCH("Linux",Table2[[#This Row],[platforms]]))</f>
        <v>0</v>
      </c>
      <c r="K112" s="1">
        <f>--ISNUMBER(SEARCH("iOS",Table2[[#This Row],[platforms]]))</f>
        <v>0</v>
      </c>
      <c r="L112" s="1">
        <f>--ISNUMBER(SEARCH("macOS",Table2[[#This Row],[platforms]]))</f>
        <v>0</v>
      </c>
      <c r="M112" s="1">
        <f>--ISNUMBER(SEARCH("Cloud",Table2[[#This Row],[platforms]]))</f>
        <v>0</v>
      </c>
      <c r="N11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13" spans="1:14" ht="204" x14ac:dyDescent="0.2">
      <c r="A113" t="str">
        <f t="shared" si="1"/>
        <v>112</v>
      </c>
      <c r="B113" s="3" t="s">
        <v>128</v>
      </c>
      <c r="C113" s="1" t="s">
        <v>8</v>
      </c>
      <c r="D113" t="s">
        <v>29</v>
      </c>
      <c r="E113" t="s">
        <v>23</v>
      </c>
      <c r="F113" s="1" t="s">
        <v>217</v>
      </c>
      <c r="G113" s="1" t="s">
        <v>221</v>
      </c>
      <c r="H113" s="1">
        <f>--ISNUMBER(SEARCH("Windows",Table2[[#This Row],[platforms]]))</f>
        <v>0</v>
      </c>
      <c r="I113" s="1">
        <f>--ISNUMBER(SEARCH("Android",Table2[[#This Row],[platforms]]))</f>
        <v>0</v>
      </c>
      <c r="J113" s="1">
        <f>--ISNUMBER(SEARCH("Linux",Table2[[#This Row],[platforms]]))</f>
        <v>0</v>
      </c>
      <c r="K113" s="1">
        <f>--ISNUMBER(SEARCH("iOS",Table2[[#This Row],[platforms]]))</f>
        <v>0</v>
      </c>
      <c r="L113" s="1">
        <f>--ISNUMBER(SEARCH("macOS",Table2[[#This Row],[platforms]]))</f>
        <v>0</v>
      </c>
      <c r="M113" s="1">
        <f>--ISNUMBER(SEARCH("Cloud",Table2[[#This Row],[platforms]]))</f>
        <v>0</v>
      </c>
      <c r="N11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14" spans="1:14" ht="323" x14ac:dyDescent="0.2">
      <c r="A114" t="str">
        <f t="shared" si="1"/>
        <v>113</v>
      </c>
      <c r="B114" s="1" t="s">
        <v>129</v>
      </c>
      <c r="C114" s="1" t="s">
        <v>31</v>
      </c>
      <c r="E114" t="s">
        <v>23</v>
      </c>
      <c r="F114" s="1" t="s">
        <v>217</v>
      </c>
      <c r="G114" s="1" t="s">
        <v>221</v>
      </c>
      <c r="H114" s="1">
        <f>--ISNUMBER(SEARCH("Windows",Table2[[#This Row],[platforms]]))</f>
        <v>0</v>
      </c>
      <c r="I114" s="1">
        <f>--ISNUMBER(SEARCH("Android",Table2[[#This Row],[platforms]]))</f>
        <v>0</v>
      </c>
      <c r="J114" s="1">
        <f>--ISNUMBER(SEARCH("Linux",Table2[[#This Row],[platforms]]))</f>
        <v>0</v>
      </c>
      <c r="K114" s="1">
        <f>--ISNUMBER(SEARCH("iOS",Table2[[#This Row],[platforms]]))</f>
        <v>0</v>
      </c>
      <c r="L114" s="1">
        <f>--ISNUMBER(SEARCH("macOS",Table2[[#This Row],[platforms]]))</f>
        <v>0</v>
      </c>
      <c r="M114" s="1">
        <f>--ISNUMBER(SEARCH("Cloud",Table2[[#This Row],[platforms]]))</f>
        <v>0</v>
      </c>
      <c r="N114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15" spans="1:14" ht="221" x14ac:dyDescent="0.2">
      <c r="A115" t="str">
        <f t="shared" si="1"/>
        <v>114</v>
      </c>
      <c r="B115" s="1" t="s">
        <v>130</v>
      </c>
      <c r="C115" s="1" t="s">
        <v>214</v>
      </c>
      <c r="D115" s="1" t="s">
        <v>29</v>
      </c>
      <c r="E115" t="s">
        <v>23</v>
      </c>
      <c r="F115" s="1" t="s">
        <v>217</v>
      </c>
      <c r="G115" s="1" t="s">
        <v>221</v>
      </c>
      <c r="H115" s="1">
        <f>--ISNUMBER(SEARCH("Windows",Table2[[#This Row],[platforms]]))</f>
        <v>0</v>
      </c>
      <c r="I115" s="1">
        <f>--ISNUMBER(SEARCH("Android",Table2[[#This Row],[platforms]]))</f>
        <v>0</v>
      </c>
      <c r="J115" s="1">
        <f>--ISNUMBER(SEARCH("Linux",Table2[[#This Row],[platforms]]))</f>
        <v>0</v>
      </c>
      <c r="K115" s="1">
        <f>--ISNUMBER(SEARCH("iOS",Table2[[#This Row],[platforms]]))</f>
        <v>0</v>
      </c>
      <c r="L115" s="1">
        <f>--ISNUMBER(SEARCH("macOS",Table2[[#This Row],[platforms]]))</f>
        <v>0</v>
      </c>
      <c r="M115" s="1">
        <f>--ISNUMBER(SEARCH("Cloud",Table2[[#This Row],[platforms]]))</f>
        <v>0</v>
      </c>
      <c r="N115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16" spans="1:14" ht="187" x14ac:dyDescent="0.2">
      <c r="A116" t="str">
        <f t="shared" si="1"/>
        <v>115</v>
      </c>
      <c r="B116" s="1" t="s">
        <v>131</v>
      </c>
      <c r="C116" s="1" t="s">
        <v>214</v>
      </c>
      <c r="E116" t="s">
        <v>23</v>
      </c>
      <c r="F116" s="1" t="s">
        <v>217</v>
      </c>
      <c r="G116" s="1" t="s">
        <v>221</v>
      </c>
      <c r="H116" s="1">
        <f>--ISNUMBER(SEARCH("Windows",Table2[[#This Row],[platforms]]))</f>
        <v>0</v>
      </c>
      <c r="I116" s="1">
        <f>--ISNUMBER(SEARCH("Android",Table2[[#This Row],[platforms]]))</f>
        <v>0</v>
      </c>
      <c r="J116" s="1">
        <f>--ISNUMBER(SEARCH("Linux",Table2[[#This Row],[platforms]]))</f>
        <v>0</v>
      </c>
      <c r="K116" s="1">
        <f>--ISNUMBER(SEARCH("iOS",Table2[[#This Row],[platforms]]))</f>
        <v>0</v>
      </c>
      <c r="L116" s="1">
        <f>--ISNUMBER(SEARCH("macOS",Table2[[#This Row],[platforms]]))</f>
        <v>0</v>
      </c>
      <c r="M116" s="1">
        <f>--ISNUMBER(SEARCH("Cloud",Table2[[#This Row],[platforms]]))</f>
        <v>0</v>
      </c>
      <c r="N116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17" spans="1:14" ht="204" x14ac:dyDescent="0.2">
      <c r="A117" t="str">
        <f t="shared" si="1"/>
        <v>116</v>
      </c>
      <c r="B117" s="1" t="s">
        <v>132</v>
      </c>
      <c r="C117" s="1" t="s">
        <v>5</v>
      </c>
      <c r="E117" t="s">
        <v>213</v>
      </c>
      <c r="F117" s="1" t="s">
        <v>216</v>
      </c>
      <c r="G117" s="1" t="s">
        <v>232</v>
      </c>
      <c r="H117" s="1">
        <f>--ISNUMBER(SEARCH("Windows",Table2[[#This Row],[platforms]]))</f>
        <v>1</v>
      </c>
      <c r="I117" s="1">
        <f>--ISNUMBER(SEARCH("Android",Table2[[#This Row],[platforms]]))</f>
        <v>0</v>
      </c>
      <c r="J117" s="1">
        <f>--ISNUMBER(SEARCH("Linux",Table2[[#This Row],[platforms]]))</f>
        <v>0</v>
      </c>
      <c r="K117" s="1">
        <f>--ISNUMBER(SEARCH("iOS",Table2[[#This Row],[platforms]]))</f>
        <v>0</v>
      </c>
      <c r="L117" s="1">
        <f>--ISNUMBER(SEARCH("macOS",Table2[[#This Row],[platforms]]))</f>
        <v>0</v>
      </c>
      <c r="M117" s="1">
        <f>--ISNUMBER(SEARCH("Cloud",Table2[[#This Row],[platforms]]))</f>
        <v>0</v>
      </c>
      <c r="N117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18" spans="1:14" ht="153" x14ac:dyDescent="0.2">
      <c r="A118" t="str">
        <f t="shared" si="1"/>
        <v>117</v>
      </c>
      <c r="B118" s="1" t="s">
        <v>133</v>
      </c>
      <c r="C118" s="1" t="s">
        <v>8</v>
      </c>
      <c r="E118" t="s">
        <v>57</v>
      </c>
      <c r="F118" s="1" t="s">
        <v>217</v>
      </c>
      <c r="G118" s="1" t="s">
        <v>221</v>
      </c>
      <c r="H118" s="1">
        <f>--ISNUMBER(SEARCH("Windows",Table2[[#This Row],[platforms]]))</f>
        <v>0</v>
      </c>
      <c r="I118" s="1">
        <f>--ISNUMBER(SEARCH("Android",Table2[[#This Row],[platforms]]))</f>
        <v>0</v>
      </c>
      <c r="J118" s="1">
        <f>--ISNUMBER(SEARCH("Linux",Table2[[#This Row],[platforms]]))</f>
        <v>0</v>
      </c>
      <c r="K118" s="1">
        <f>--ISNUMBER(SEARCH("iOS",Table2[[#This Row],[platforms]]))</f>
        <v>0</v>
      </c>
      <c r="L118" s="1">
        <f>--ISNUMBER(SEARCH("macOS",Table2[[#This Row],[platforms]]))</f>
        <v>0</v>
      </c>
      <c r="M118" s="1">
        <f>--ISNUMBER(SEARCH("Cloud",Table2[[#This Row],[platforms]]))</f>
        <v>0</v>
      </c>
      <c r="N11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19" spans="1:14" ht="204" x14ac:dyDescent="0.2">
      <c r="A119" t="str">
        <f t="shared" si="1"/>
        <v>118</v>
      </c>
      <c r="B119" s="1" t="s">
        <v>134</v>
      </c>
      <c r="C119" s="1" t="s">
        <v>5</v>
      </c>
      <c r="E119" t="s">
        <v>16</v>
      </c>
      <c r="F119" s="1" t="s">
        <v>216</v>
      </c>
      <c r="G119" s="1" t="s">
        <v>235</v>
      </c>
      <c r="H119" s="1">
        <f>--ISNUMBER(SEARCH("Windows",Table2[[#This Row],[platforms]]))</f>
        <v>1</v>
      </c>
      <c r="I119" s="1">
        <f>--ISNUMBER(SEARCH("Android",Table2[[#This Row],[platforms]]))</f>
        <v>0</v>
      </c>
      <c r="J119" s="1">
        <f>--ISNUMBER(SEARCH("Linux",Table2[[#This Row],[platforms]]))</f>
        <v>1</v>
      </c>
      <c r="K119" s="1">
        <f>--ISNUMBER(SEARCH("iOS",Table2[[#This Row],[platforms]]))</f>
        <v>0</v>
      </c>
      <c r="L119" s="1">
        <f>--ISNUMBER(SEARCH("macOS",Table2[[#This Row],[platforms]]))</f>
        <v>0</v>
      </c>
      <c r="M119" s="1">
        <f>--ISNUMBER(SEARCH("Cloud",Table2[[#This Row],[platforms]]))</f>
        <v>0</v>
      </c>
      <c r="N119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20" spans="1:14" ht="255" x14ac:dyDescent="0.2">
      <c r="A120" t="str">
        <f t="shared" si="1"/>
        <v>119</v>
      </c>
      <c r="B120" s="1" t="s">
        <v>135</v>
      </c>
      <c r="C120" s="1" t="s">
        <v>214</v>
      </c>
      <c r="E120" t="s">
        <v>23</v>
      </c>
      <c r="F120" s="1" t="s">
        <v>217</v>
      </c>
      <c r="G120" s="1" t="s">
        <v>221</v>
      </c>
      <c r="H120" s="1">
        <f>--ISNUMBER(SEARCH("Windows",Table2[[#This Row],[platforms]]))</f>
        <v>0</v>
      </c>
      <c r="I120" s="1">
        <f>--ISNUMBER(SEARCH("Android",Table2[[#This Row],[platforms]]))</f>
        <v>0</v>
      </c>
      <c r="J120" s="1">
        <f>--ISNUMBER(SEARCH("Linux",Table2[[#This Row],[platforms]]))</f>
        <v>0</v>
      </c>
      <c r="K120" s="1">
        <f>--ISNUMBER(SEARCH("iOS",Table2[[#This Row],[platforms]]))</f>
        <v>0</v>
      </c>
      <c r="L120" s="1">
        <f>--ISNUMBER(SEARCH("macOS",Table2[[#This Row],[platforms]]))</f>
        <v>0</v>
      </c>
      <c r="M120" s="1">
        <f>--ISNUMBER(SEARCH("Cloud",Table2[[#This Row],[platforms]]))</f>
        <v>0</v>
      </c>
      <c r="N120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21" spans="1:14" ht="187" x14ac:dyDescent="0.2">
      <c r="A121" t="str">
        <f t="shared" si="1"/>
        <v>120</v>
      </c>
      <c r="B121" s="1" t="s">
        <v>136</v>
      </c>
      <c r="C121" s="1" t="s">
        <v>10</v>
      </c>
      <c r="E121" t="s">
        <v>23</v>
      </c>
      <c r="F121" s="1" t="s">
        <v>10</v>
      </c>
      <c r="G121" s="1" t="s">
        <v>234</v>
      </c>
      <c r="H121" s="1">
        <f>--ISNUMBER(SEARCH("Windows",Table2[[#This Row],[platforms]]))</f>
        <v>0</v>
      </c>
      <c r="I121" s="1">
        <f>--ISNUMBER(SEARCH("Android",Table2[[#This Row],[platforms]]))</f>
        <v>1</v>
      </c>
      <c r="J121" s="1">
        <f>--ISNUMBER(SEARCH("Linux",Table2[[#This Row],[platforms]]))</f>
        <v>0</v>
      </c>
      <c r="K121" s="1">
        <f>--ISNUMBER(SEARCH("iOS",Table2[[#This Row],[platforms]]))</f>
        <v>0</v>
      </c>
      <c r="L121" s="1">
        <f>--ISNUMBER(SEARCH("macOS",Table2[[#This Row],[platforms]]))</f>
        <v>0</v>
      </c>
      <c r="M121" s="1">
        <f>--ISNUMBER(SEARCH("Cloud",Table2[[#This Row],[platforms]]))</f>
        <v>0</v>
      </c>
      <c r="N121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22" spans="1:14" ht="204" x14ac:dyDescent="0.2">
      <c r="A122" t="str">
        <f t="shared" si="1"/>
        <v>121</v>
      </c>
      <c r="B122" s="1" t="s">
        <v>137</v>
      </c>
      <c r="C122" s="1" t="s">
        <v>214</v>
      </c>
      <c r="E122" t="s">
        <v>23</v>
      </c>
      <c r="F122" s="1" t="s">
        <v>217</v>
      </c>
      <c r="G122" s="1" t="s">
        <v>221</v>
      </c>
      <c r="H122" s="1">
        <f>--ISNUMBER(SEARCH("Windows",Table2[[#This Row],[platforms]]))</f>
        <v>0</v>
      </c>
      <c r="I122" s="1">
        <f>--ISNUMBER(SEARCH("Android",Table2[[#This Row],[platforms]]))</f>
        <v>0</v>
      </c>
      <c r="J122" s="1">
        <f>--ISNUMBER(SEARCH("Linux",Table2[[#This Row],[platforms]]))</f>
        <v>0</v>
      </c>
      <c r="K122" s="1">
        <f>--ISNUMBER(SEARCH("iOS",Table2[[#This Row],[platforms]]))</f>
        <v>0</v>
      </c>
      <c r="L122" s="1">
        <f>--ISNUMBER(SEARCH("macOS",Table2[[#This Row],[platforms]]))</f>
        <v>0</v>
      </c>
      <c r="M122" s="1">
        <f>--ISNUMBER(SEARCH("Cloud",Table2[[#This Row],[platforms]]))</f>
        <v>0</v>
      </c>
      <c r="N12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23" spans="1:14" ht="255" x14ac:dyDescent="0.2">
      <c r="A123" t="str">
        <f t="shared" si="1"/>
        <v>122</v>
      </c>
      <c r="B123" s="1" t="s">
        <v>138</v>
      </c>
      <c r="C123" s="1" t="s">
        <v>10</v>
      </c>
      <c r="E123" t="s">
        <v>16</v>
      </c>
      <c r="F123" s="1" t="s">
        <v>10</v>
      </c>
      <c r="G123" s="1" t="s">
        <v>234</v>
      </c>
      <c r="H123" s="1">
        <f>--ISNUMBER(SEARCH("Windows",Table2[[#This Row],[platforms]]))</f>
        <v>0</v>
      </c>
      <c r="I123" s="1">
        <f>--ISNUMBER(SEARCH("Android",Table2[[#This Row],[platforms]]))</f>
        <v>1</v>
      </c>
      <c r="J123" s="1">
        <f>--ISNUMBER(SEARCH("Linux",Table2[[#This Row],[platforms]]))</f>
        <v>0</v>
      </c>
      <c r="K123" s="1">
        <f>--ISNUMBER(SEARCH("iOS",Table2[[#This Row],[platforms]]))</f>
        <v>0</v>
      </c>
      <c r="L123" s="1">
        <f>--ISNUMBER(SEARCH("macOS",Table2[[#This Row],[platforms]]))</f>
        <v>0</v>
      </c>
      <c r="M123" s="1">
        <f>--ISNUMBER(SEARCH("Cloud",Table2[[#This Row],[platforms]]))</f>
        <v>0</v>
      </c>
      <c r="N123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24" spans="1:14" ht="221" x14ac:dyDescent="0.2">
      <c r="A124" t="str">
        <f t="shared" si="1"/>
        <v>123</v>
      </c>
      <c r="B124" s="1" t="s">
        <v>139</v>
      </c>
      <c r="C124" s="1" t="s">
        <v>10</v>
      </c>
      <c r="E124" s="2" t="s">
        <v>6</v>
      </c>
      <c r="F124" s="1" t="s">
        <v>10</v>
      </c>
      <c r="G124" s="1" t="s">
        <v>234</v>
      </c>
      <c r="H124" s="1">
        <f>--ISNUMBER(SEARCH("Windows",Table2[[#This Row],[platforms]]))</f>
        <v>0</v>
      </c>
      <c r="I124" s="1">
        <f>--ISNUMBER(SEARCH("Android",Table2[[#This Row],[platforms]]))</f>
        <v>1</v>
      </c>
      <c r="J124" s="1">
        <f>--ISNUMBER(SEARCH("Linux",Table2[[#This Row],[platforms]]))</f>
        <v>0</v>
      </c>
      <c r="K124" s="1">
        <f>--ISNUMBER(SEARCH("iOS",Table2[[#This Row],[platforms]]))</f>
        <v>0</v>
      </c>
      <c r="L124" s="1">
        <f>--ISNUMBER(SEARCH("macOS",Table2[[#This Row],[platforms]]))</f>
        <v>0</v>
      </c>
      <c r="M124" s="1">
        <f>--ISNUMBER(SEARCH("Cloud",Table2[[#This Row],[platforms]]))</f>
        <v>0</v>
      </c>
      <c r="N124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25" spans="1:14" ht="187" x14ac:dyDescent="0.2">
      <c r="A125" t="str">
        <f t="shared" si="1"/>
        <v>124</v>
      </c>
      <c r="B125" s="1" t="s">
        <v>140</v>
      </c>
      <c r="C125" s="1" t="s">
        <v>5</v>
      </c>
      <c r="D125" s="1"/>
      <c r="E125" s="2" t="s">
        <v>6</v>
      </c>
      <c r="F125" s="1" t="s">
        <v>216</v>
      </c>
      <c r="G125" s="1" t="s">
        <v>232</v>
      </c>
      <c r="H125" s="1">
        <f>--ISNUMBER(SEARCH("Windows",Table2[[#This Row],[platforms]]))</f>
        <v>1</v>
      </c>
      <c r="I125" s="1">
        <f>--ISNUMBER(SEARCH("Android",Table2[[#This Row],[platforms]]))</f>
        <v>0</v>
      </c>
      <c r="J125" s="1">
        <f>--ISNUMBER(SEARCH("Linux",Table2[[#This Row],[platforms]]))</f>
        <v>0</v>
      </c>
      <c r="K125" s="1">
        <f>--ISNUMBER(SEARCH("iOS",Table2[[#This Row],[platforms]]))</f>
        <v>0</v>
      </c>
      <c r="L125" s="1">
        <f>--ISNUMBER(SEARCH("macOS",Table2[[#This Row],[platforms]]))</f>
        <v>0</v>
      </c>
      <c r="M125" s="1">
        <f>--ISNUMBER(SEARCH("Cloud",Table2[[#This Row],[platforms]]))</f>
        <v>0</v>
      </c>
      <c r="N125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26" spans="1:14" ht="170" x14ac:dyDescent="0.2">
      <c r="A126" t="str">
        <f t="shared" si="1"/>
        <v>125</v>
      </c>
      <c r="B126" s="1" t="s">
        <v>141</v>
      </c>
      <c r="C126" s="1" t="s">
        <v>5</v>
      </c>
      <c r="E126" s="2" t="s">
        <v>6</v>
      </c>
      <c r="F126" s="1" t="s">
        <v>216</v>
      </c>
      <c r="G126" s="1" t="s">
        <v>238</v>
      </c>
      <c r="H126" s="1">
        <f>--ISNUMBER(SEARCH("Windows",Table2[[#This Row],[platforms]]))</f>
        <v>0</v>
      </c>
      <c r="I126" s="1">
        <f>--ISNUMBER(SEARCH("Android",Table2[[#This Row],[platforms]]))</f>
        <v>0</v>
      </c>
      <c r="J126" s="1">
        <f>--ISNUMBER(SEARCH("Linux",Table2[[#This Row],[platforms]]))</f>
        <v>1</v>
      </c>
      <c r="K126" s="1">
        <f>--ISNUMBER(SEARCH("iOS",Table2[[#This Row],[platforms]]))</f>
        <v>0</v>
      </c>
      <c r="L126" s="1">
        <f>--ISNUMBER(SEARCH("macOS",Table2[[#This Row],[platforms]]))</f>
        <v>0</v>
      </c>
      <c r="M126" s="1">
        <f>--ISNUMBER(SEARCH("Cloud",Table2[[#This Row],[platforms]]))</f>
        <v>0</v>
      </c>
      <c r="N126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27" spans="1:14" ht="136" x14ac:dyDescent="0.2">
      <c r="A127" t="str">
        <f t="shared" si="1"/>
        <v>126</v>
      </c>
      <c r="B127" s="1" t="s">
        <v>142</v>
      </c>
      <c r="C127" s="1" t="s">
        <v>8</v>
      </c>
      <c r="E127" t="s">
        <v>23</v>
      </c>
      <c r="F127" s="1" t="s">
        <v>217</v>
      </c>
      <c r="G127" s="1" t="s">
        <v>221</v>
      </c>
      <c r="H127" s="1">
        <f>--ISNUMBER(SEARCH("Windows",Table2[[#This Row],[platforms]]))</f>
        <v>0</v>
      </c>
      <c r="I127" s="1">
        <f>--ISNUMBER(SEARCH("Android",Table2[[#This Row],[platforms]]))</f>
        <v>0</v>
      </c>
      <c r="J127" s="1">
        <f>--ISNUMBER(SEARCH("Linux",Table2[[#This Row],[platforms]]))</f>
        <v>0</v>
      </c>
      <c r="K127" s="1">
        <f>--ISNUMBER(SEARCH("iOS",Table2[[#This Row],[platforms]]))</f>
        <v>0</v>
      </c>
      <c r="L127" s="1">
        <f>--ISNUMBER(SEARCH("macOS",Table2[[#This Row],[platforms]]))</f>
        <v>0</v>
      </c>
      <c r="M127" s="1">
        <f>--ISNUMBER(SEARCH("Cloud",Table2[[#This Row],[platforms]]))</f>
        <v>0</v>
      </c>
      <c r="N127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28" spans="1:14" ht="238" x14ac:dyDescent="0.2">
      <c r="A128" t="str">
        <f t="shared" si="1"/>
        <v>127</v>
      </c>
      <c r="B128" s="1" t="s">
        <v>143</v>
      </c>
      <c r="C128" s="1" t="s">
        <v>214</v>
      </c>
      <c r="E128" t="s">
        <v>23</v>
      </c>
      <c r="F128" s="1" t="s">
        <v>217</v>
      </c>
      <c r="G128" s="1" t="s">
        <v>221</v>
      </c>
      <c r="H128" s="1">
        <f>--ISNUMBER(SEARCH("Windows",Table2[[#This Row],[platforms]]))</f>
        <v>0</v>
      </c>
      <c r="I128" s="1">
        <f>--ISNUMBER(SEARCH("Android",Table2[[#This Row],[platforms]]))</f>
        <v>0</v>
      </c>
      <c r="J128" s="1">
        <f>--ISNUMBER(SEARCH("Linux",Table2[[#This Row],[platforms]]))</f>
        <v>0</v>
      </c>
      <c r="K128" s="1">
        <f>--ISNUMBER(SEARCH("iOS",Table2[[#This Row],[platforms]]))</f>
        <v>0</v>
      </c>
      <c r="L128" s="1">
        <f>--ISNUMBER(SEARCH("macOS",Table2[[#This Row],[platforms]]))</f>
        <v>0</v>
      </c>
      <c r="M128" s="1">
        <f>--ISNUMBER(SEARCH("Cloud",Table2[[#This Row],[platforms]]))</f>
        <v>0</v>
      </c>
      <c r="N12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29" spans="1:14" ht="204" x14ac:dyDescent="0.2">
      <c r="A129" t="str">
        <f t="shared" si="1"/>
        <v>128</v>
      </c>
      <c r="B129" s="1" t="s">
        <v>144</v>
      </c>
      <c r="C129" s="1" t="s">
        <v>10</v>
      </c>
      <c r="E129" t="s">
        <v>23</v>
      </c>
      <c r="F129" s="1" t="s">
        <v>10</v>
      </c>
      <c r="G129" s="1" t="s">
        <v>234</v>
      </c>
      <c r="H129" s="1">
        <f>--ISNUMBER(SEARCH("Windows",Table2[[#This Row],[platforms]]))</f>
        <v>0</v>
      </c>
      <c r="I129" s="1">
        <f>--ISNUMBER(SEARCH("Android",Table2[[#This Row],[platforms]]))</f>
        <v>1</v>
      </c>
      <c r="J129" s="1">
        <f>--ISNUMBER(SEARCH("Linux",Table2[[#This Row],[platforms]]))</f>
        <v>0</v>
      </c>
      <c r="K129" s="1">
        <f>--ISNUMBER(SEARCH("iOS",Table2[[#This Row],[platforms]]))</f>
        <v>0</v>
      </c>
      <c r="L129" s="1">
        <f>--ISNUMBER(SEARCH("macOS",Table2[[#This Row],[platforms]]))</f>
        <v>0</v>
      </c>
      <c r="M129" s="1">
        <f>--ISNUMBER(SEARCH("Cloud",Table2[[#This Row],[platforms]]))</f>
        <v>0</v>
      </c>
      <c r="N129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30" spans="1:14" ht="187" x14ac:dyDescent="0.2">
      <c r="A130" t="str">
        <f t="shared" si="1"/>
        <v>129</v>
      </c>
      <c r="B130" s="1" t="s">
        <v>145</v>
      </c>
      <c r="C130" s="1" t="s">
        <v>214</v>
      </c>
      <c r="E130" t="s">
        <v>23</v>
      </c>
      <c r="F130" s="1" t="s">
        <v>217</v>
      </c>
      <c r="G130" s="1" t="s">
        <v>221</v>
      </c>
      <c r="H130" s="1">
        <f>--ISNUMBER(SEARCH("Windows",Table2[[#This Row],[platforms]]))</f>
        <v>0</v>
      </c>
      <c r="I130" s="1">
        <f>--ISNUMBER(SEARCH("Android",Table2[[#This Row],[platforms]]))</f>
        <v>0</v>
      </c>
      <c r="J130" s="1">
        <f>--ISNUMBER(SEARCH("Linux",Table2[[#This Row],[platforms]]))</f>
        <v>0</v>
      </c>
      <c r="K130" s="1">
        <f>--ISNUMBER(SEARCH("iOS",Table2[[#This Row],[platforms]]))</f>
        <v>0</v>
      </c>
      <c r="L130" s="1">
        <f>--ISNUMBER(SEARCH("macOS",Table2[[#This Row],[platforms]]))</f>
        <v>0</v>
      </c>
      <c r="M130" s="1">
        <f>--ISNUMBER(SEARCH("Cloud",Table2[[#This Row],[platforms]]))</f>
        <v>0</v>
      </c>
      <c r="N130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31" spans="1:14" ht="272" x14ac:dyDescent="0.2">
      <c r="A131" t="str">
        <f t="shared" si="1"/>
        <v>130</v>
      </c>
      <c r="B131" s="1" t="s">
        <v>146</v>
      </c>
      <c r="C131" s="1" t="s">
        <v>10</v>
      </c>
      <c r="E131" t="s">
        <v>23</v>
      </c>
      <c r="F131" s="1" t="s">
        <v>10</v>
      </c>
      <c r="G131" s="1" t="s">
        <v>234</v>
      </c>
      <c r="H131" s="1">
        <f>--ISNUMBER(SEARCH("Windows",Table2[[#This Row],[platforms]]))</f>
        <v>0</v>
      </c>
      <c r="I131" s="1">
        <f>--ISNUMBER(SEARCH("Android",Table2[[#This Row],[platforms]]))</f>
        <v>1</v>
      </c>
      <c r="J131" s="1">
        <f>--ISNUMBER(SEARCH("Linux",Table2[[#This Row],[platforms]]))</f>
        <v>0</v>
      </c>
      <c r="K131" s="1">
        <f>--ISNUMBER(SEARCH("iOS",Table2[[#This Row],[platforms]]))</f>
        <v>0</v>
      </c>
      <c r="L131" s="1">
        <f>--ISNUMBER(SEARCH("macOS",Table2[[#This Row],[platforms]]))</f>
        <v>0</v>
      </c>
      <c r="M131" s="1">
        <f>--ISNUMBER(SEARCH("Cloud",Table2[[#This Row],[platforms]]))</f>
        <v>0</v>
      </c>
      <c r="N131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32" spans="1:14" ht="238" x14ac:dyDescent="0.2">
      <c r="A132" t="str">
        <f t="shared" ref="A132:A195" si="2">TEXT(ROW()-1,"000")</f>
        <v>131</v>
      </c>
      <c r="B132" s="1" t="s">
        <v>147</v>
      </c>
      <c r="C132" s="1" t="s">
        <v>214</v>
      </c>
      <c r="E132" t="s">
        <v>23</v>
      </c>
      <c r="F132" s="1" t="s">
        <v>217</v>
      </c>
      <c r="G132" s="1" t="s">
        <v>221</v>
      </c>
      <c r="H132" s="1">
        <f>--ISNUMBER(SEARCH("Windows",Table2[[#This Row],[platforms]]))</f>
        <v>0</v>
      </c>
      <c r="I132" s="1">
        <f>--ISNUMBER(SEARCH("Android",Table2[[#This Row],[platforms]]))</f>
        <v>0</v>
      </c>
      <c r="J132" s="1">
        <f>--ISNUMBER(SEARCH("Linux",Table2[[#This Row],[platforms]]))</f>
        <v>0</v>
      </c>
      <c r="K132" s="1">
        <f>--ISNUMBER(SEARCH("iOS",Table2[[#This Row],[platforms]]))</f>
        <v>0</v>
      </c>
      <c r="L132" s="1">
        <f>--ISNUMBER(SEARCH("macOS",Table2[[#This Row],[platforms]]))</f>
        <v>0</v>
      </c>
      <c r="M132" s="1">
        <f>--ISNUMBER(SEARCH("Cloud",Table2[[#This Row],[platforms]]))</f>
        <v>0</v>
      </c>
      <c r="N13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33" spans="1:14" ht="272" x14ac:dyDescent="0.2">
      <c r="A133" t="str">
        <f t="shared" si="2"/>
        <v>132</v>
      </c>
      <c r="B133" s="1" t="s">
        <v>148</v>
      </c>
      <c r="C133" s="1" t="s">
        <v>20</v>
      </c>
      <c r="E133" t="s">
        <v>23</v>
      </c>
      <c r="F133" s="1" t="s">
        <v>217</v>
      </c>
      <c r="G133" s="1" t="s">
        <v>221</v>
      </c>
      <c r="H133" s="1">
        <f>--ISNUMBER(SEARCH("Windows",Table2[[#This Row],[platforms]]))</f>
        <v>0</v>
      </c>
      <c r="I133" s="1">
        <f>--ISNUMBER(SEARCH("Android",Table2[[#This Row],[platforms]]))</f>
        <v>0</v>
      </c>
      <c r="J133" s="1">
        <f>--ISNUMBER(SEARCH("Linux",Table2[[#This Row],[platforms]]))</f>
        <v>0</v>
      </c>
      <c r="K133" s="1">
        <f>--ISNUMBER(SEARCH("iOS",Table2[[#This Row],[platforms]]))</f>
        <v>0</v>
      </c>
      <c r="L133" s="1">
        <f>--ISNUMBER(SEARCH("macOS",Table2[[#This Row],[platforms]]))</f>
        <v>0</v>
      </c>
      <c r="M133" s="1">
        <f>--ISNUMBER(SEARCH("Cloud",Table2[[#This Row],[platforms]]))</f>
        <v>0</v>
      </c>
      <c r="N13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34" spans="1:14" ht="187" x14ac:dyDescent="0.2">
      <c r="A134" t="str">
        <f t="shared" si="2"/>
        <v>133</v>
      </c>
      <c r="B134" s="1" t="s">
        <v>149</v>
      </c>
      <c r="C134" s="1" t="s">
        <v>214</v>
      </c>
      <c r="E134" t="s">
        <v>57</v>
      </c>
      <c r="F134" s="1" t="s">
        <v>217</v>
      </c>
      <c r="G134" s="1" t="s">
        <v>221</v>
      </c>
      <c r="H134" s="1">
        <f>--ISNUMBER(SEARCH("Windows",Table2[[#This Row],[platforms]]))</f>
        <v>0</v>
      </c>
      <c r="I134" s="1">
        <f>--ISNUMBER(SEARCH("Android",Table2[[#This Row],[platforms]]))</f>
        <v>0</v>
      </c>
      <c r="J134" s="1">
        <f>--ISNUMBER(SEARCH("Linux",Table2[[#This Row],[platforms]]))</f>
        <v>0</v>
      </c>
      <c r="K134" s="1">
        <f>--ISNUMBER(SEARCH("iOS",Table2[[#This Row],[platforms]]))</f>
        <v>0</v>
      </c>
      <c r="L134" s="1">
        <f>--ISNUMBER(SEARCH("macOS",Table2[[#This Row],[platforms]]))</f>
        <v>0</v>
      </c>
      <c r="M134" s="1">
        <f>--ISNUMBER(SEARCH("Cloud",Table2[[#This Row],[platforms]]))</f>
        <v>0</v>
      </c>
      <c r="N134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35" spans="1:14" ht="255" x14ac:dyDescent="0.2">
      <c r="A135" t="str">
        <f t="shared" si="2"/>
        <v>134</v>
      </c>
      <c r="B135" s="1" t="s">
        <v>150</v>
      </c>
      <c r="C135" s="1" t="s">
        <v>5</v>
      </c>
      <c r="E135" t="s">
        <v>23</v>
      </c>
      <c r="F135" s="1" t="s">
        <v>216</v>
      </c>
      <c r="G135" s="1" t="s">
        <v>238</v>
      </c>
      <c r="H135" s="1">
        <f>--ISNUMBER(SEARCH("Windows",Table2[[#This Row],[platforms]]))</f>
        <v>0</v>
      </c>
      <c r="I135" s="1">
        <f>--ISNUMBER(SEARCH("Android",Table2[[#This Row],[platforms]]))</f>
        <v>0</v>
      </c>
      <c r="J135" s="1">
        <f>--ISNUMBER(SEARCH("Linux",Table2[[#This Row],[platforms]]))</f>
        <v>1</v>
      </c>
      <c r="K135" s="1">
        <f>--ISNUMBER(SEARCH("iOS",Table2[[#This Row],[platforms]]))</f>
        <v>0</v>
      </c>
      <c r="L135" s="1">
        <f>--ISNUMBER(SEARCH("macOS",Table2[[#This Row],[platforms]]))</f>
        <v>0</v>
      </c>
      <c r="M135" s="1">
        <f>--ISNUMBER(SEARCH("Cloud",Table2[[#This Row],[platforms]]))</f>
        <v>0</v>
      </c>
      <c r="N135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36" spans="1:14" ht="272" x14ac:dyDescent="0.2">
      <c r="A136" t="str">
        <f t="shared" si="2"/>
        <v>135</v>
      </c>
      <c r="B136" s="1" t="s">
        <v>151</v>
      </c>
      <c r="C136" s="1" t="s">
        <v>86</v>
      </c>
      <c r="D136" s="1"/>
      <c r="E136" s="1" t="s">
        <v>23</v>
      </c>
      <c r="F136" s="1" t="s">
        <v>217</v>
      </c>
      <c r="G136" s="1" t="s">
        <v>221</v>
      </c>
      <c r="H136" s="1">
        <f>--ISNUMBER(SEARCH("Windows",Table2[[#This Row],[platforms]]))</f>
        <v>0</v>
      </c>
      <c r="I136" s="1">
        <f>--ISNUMBER(SEARCH("Android",Table2[[#This Row],[platforms]]))</f>
        <v>0</v>
      </c>
      <c r="J136" s="1">
        <f>--ISNUMBER(SEARCH("Linux",Table2[[#This Row],[platforms]]))</f>
        <v>0</v>
      </c>
      <c r="K136" s="1">
        <f>--ISNUMBER(SEARCH("iOS",Table2[[#This Row],[platforms]]))</f>
        <v>0</v>
      </c>
      <c r="L136" s="1">
        <f>--ISNUMBER(SEARCH("macOS",Table2[[#This Row],[platforms]]))</f>
        <v>0</v>
      </c>
      <c r="M136" s="1">
        <f>--ISNUMBER(SEARCH("Cloud",Table2[[#This Row],[platforms]]))</f>
        <v>0</v>
      </c>
      <c r="N136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37" spans="1:14" ht="238" x14ac:dyDescent="0.2">
      <c r="A137" t="str">
        <f t="shared" si="2"/>
        <v>136</v>
      </c>
      <c r="B137" s="1" t="s">
        <v>152</v>
      </c>
      <c r="C137" s="1" t="s">
        <v>10</v>
      </c>
      <c r="E137" t="s">
        <v>23</v>
      </c>
      <c r="F137" s="1" t="s">
        <v>10</v>
      </c>
      <c r="G137" s="1" t="s">
        <v>221</v>
      </c>
      <c r="H137" s="1">
        <f>--ISNUMBER(SEARCH("Windows",Table2[[#This Row],[platforms]]))</f>
        <v>0</v>
      </c>
      <c r="I137" s="1">
        <f>--ISNUMBER(SEARCH("Android",Table2[[#This Row],[platforms]]))</f>
        <v>0</v>
      </c>
      <c r="J137" s="1">
        <f>--ISNUMBER(SEARCH("Linux",Table2[[#This Row],[platforms]]))</f>
        <v>0</v>
      </c>
      <c r="K137" s="1">
        <f>--ISNUMBER(SEARCH("iOS",Table2[[#This Row],[platforms]]))</f>
        <v>0</v>
      </c>
      <c r="L137" s="1">
        <f>--ISNUMBER(SEARCH("macOS",Table2[[#This Row],[platforms]]))</f>
        <v>0</v>
      </c>
      <c r="M137" s="1">
        <f>--ISNUMBER(SEARCH("Cloud",Table2[[#This Row],[platforms]]))</f>
        <v>0</v>
      </c>
      <c r="N137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38" spans="1:14" ht="306" x14ac:dyDescent="0.2">
      <c r="A138" t="str">
        <f t="shared" si="2"/>
        <v>137</v>
      </c>
      <c r="B138" s="1" t="s">
        <v>153</v>
      </c>
      <c r="C138" s="1" t="s">
        <v>214</v>
      </c>
      <c r="E138" t="s">
        <v>23</v>
      </c>
      <c r="F138" s="1" t="s">
        <v>217</v>
      </c>
      <c r="G138" s="1" t="s">
        <v>221</v>
      </c>
      <c r="H138" s="1">
        <f>--ISNUMBER(SEARCH("Windows",Table2[[#This Row],[platforms]]))</f>
        <v>0</v>
      </c>
      <c r="I138" s="1">
        <f>--ISNUMBER(SEARCH("Android",Table2[[#This Row],[platforms]]))</f>
        <v>0</v>
      </c>
      <c r="J138" s="1">
        <f>--ISNUMBER(SEARCH("Linux",Table2[[#This Row],[platforms]]))</f>
        <v>0</v>
      </c>
      <c r="K138" s="1">
        <f>--ISNUMBER(SEARCH("iOS",Table2[[#This Row],[platforms]]))</f>
        <v>0</v>
      </c>
      <c r="L138" s="1">
        <f>--ISNUMBER(SEARCH("macOS",Table2[[#This Row],[platforms]]))</f>
        <v>0</v>
      </c>
      <c r="M138" s="1">
        <f>--ISNUMBER(SEARCH("Cloud",Table2[[#This Row],[platforms]]))</f>
        <v>0</v>
      </c>
      <c r="N13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39" spans="1:14" ht="238" x14ac:dyDescent="0.2">
      <c r="A139" t="str">
        <f t="shared" si="2"/>
        <v>138</v>
      </c>
      <c r="B139" s="1" t="s">
        <v>154</v>
      </c>
      <c r="C139" s="1" t="s">
        <v>214</v>
      </c>
      <c r="D139" t="s">
        <v>29</v>
      </c>
      <c r="E139" t="s">
        <v>57</v>
      </c>
      <c r="F139" s="1" t="s">
        <v>217</v>
      </c>
      <c r="G139" s="1" t="s">
        <v>221</v>
      </c>
      <c r="H139" s="1">
        <f>--ISNUMBER(SEARCH("Windows",Table2[[#This Row],[platforms]]))</f>
        <v>0</v>
      </c>
      <c r="I139" s="1">
        <f>--ISNUMBER(SEARCH("Android",Table2[[#This Row],[platforms]]))</f>
        <v>0</v>
      </c>
      <c r="J139" s="1">
        <f>--ISNUMBER(SEARCH("Linux",Table2[[#This Row],[platforms]]))</f>
        <v>0</v>
      </c>
      <c r="K139" s="1">
        <f>--ISNUMBER(SEARCH("iOS",Table2[[#This Row],[platforms]]))</f>
        <v>0</v>
      </c>
      <c r="L139" s="1">
        <f>--ISNUMBER(SEARCH("macOS",Table2[[#This Row],[platforms]]))</f>
        <v>0</v>
      </c>
      <c r="M139" s="1">
        <f>--ISNUMBER(SEARCH("Cloud",Table2[[#This Row],[platforms]]))</f>
        <v>0</v>
      </c>
      <c r="N139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40" spans="1:14" ht="204" x14ac:dyDescent="0.2">
      <c r="A140" t="str">
        <f t="shared" si="2"/>
        <v>139</v>
      </c>
      <c r="B140" s="1" t="s">
        <v>155</v>
      </c>
      <c r="C140" s="1" t="s">
        <v>214</v>
      </c>
      <c r="E140" t="s">
        <v>16</v>
      </c>
      <c r="F140" s="1" t="s">
        <v>217</v>
      </c>
      <c r="G140" s="1" t="s">
        <v>221</v>
      </c>
      <c r="H140" s="1">
        <f>--ISNUMBER(SEARCH("Windows",Table2[[#This Row],[platforms]]))</f>
        <v>0</v>
      </c>
      <c r="I140" s="1">
        <f>--ISNUMBER(SEARCH("Android",Table2[[#This Row],[platforms]]))</f>
        <v>0</v>
      </c>
      <c r="J140" s="1">
        <f>--ISNUMBER(SEARCH("Linux",Table2[[#This Row],[platforms]]))</f>
        <v>0</v>
      </c>
      <c r="K140" s="1">
        <f>--ISNUMBER(SEARCH("iOS",Table2[[#This Row],[platforms]]))</f>
        <v>0</v>
      </c>
      <c r="L140" s="1">
        <f>--ISNUMBER(SEARCH("macOS",Table2[[#This Row],[platforms]]))</f>
        <v>0</v>
      </c>
      <c r="M140" s="1">
        <f>--ISNUMBER(SEARCH("Cloud",Table2[[#This Row],[platforms]]))</f>
        <v>0</v>
      </c>
      <c r="N140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41" spans="1:14" ht="238" x14ac:dyDescent="0.2">
      <c r="A141" t="str">
        <f t="shared" si="2"/>
        <v>140</v>
      </c>
      <c r="B141" s="1" t="s">
        <v>156</v>
      </c>
      <c r="C141" s="1" t="s">
        <v>214</v>
      </c>
      <c r="E141" t="s">
        <v>57</v>
      </c>
      <c r="F141" s="1" t="s">
        <v>217</v>
      </c>
      <c r="G141" s="1" t="s">
        <v>221</v>
      </c>
      <c r="H141" s="1">
        <f>--ISNUMBER(SEARCH("Windows",Table2[[#This Row],[platforms]]))</f>
        <v>0</v>
      </c>
      <c r="I141" s="1">
        <f>--ISNUMBER(SEARCH("Android",Table2[[#This Row],[platforms]]))</f>
        <v>0</v>
      </c>
      <c r="J141" s="1">
        <f>--ISNUMBER(SEARCH("Linux",Table2[[#This Row],[platforms]]))</f>
        <v>0</v>
      </c>
      <c r="K141" s="1">
        <f>--ISNUMBER(SEARCH("iOS",Table2[[#This Row],[platforms]]))</f>
        <v>0</v>
      </c>
      <c r="L141" s="1">
        <f>--ISNUMBER(SEARCH("macOS",Table2[[#This Row],[platforms]]))</f>
        <v>0</v>
      </c>
      <c r="M141" s="1">
        <f>--ISNUMBER(SEARCH("Cloud",Table2[[#This Row],[platforms]]))</f>
        <v>0</v>
      </c>
      <c r="N141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42" spans="1:14" ht="306" x14ac:dyDescent="0.2">
      <c r="A142" t="str">
        <f t="shared" si="2"/>
        <v>141</v>
      </c>
      <c r="B142" s="1" t="s">
        <v>157</v>
      </c>
      <c r="C142" s="1" t="s">
        <v>5</v>
      </c>
      <c r="E142" t="s">
        <v>16</v>
      </c>
      <c r="F142" s="1" t="s">
        <v>216</v>
      </c>
      <c r="G142" s="1" t="s">
        <v>238</v>
      </c>
      <c r="H142" s="1">
        <f>--ISNUMBER(SEARCH("Windows",Table2[[#This Row],[platforms]]))</f>
        <v>0</v>
      </c>
      <c r="I142" s="1">
        <f>--ISNUMBER(SEARCH("Android",Table2[[#This Row],[platforms]]))</f>
        <v>0</v>
      </c>
      <c r="J142" s="1">
        <f>--ISNUMBER(SEARCH("Linux",Table2[[#This Row],[platforms]]))</f>
        <v>1</v>
      </c>
      <c r="K142" s="1">
        <f>--ISNUMBER(SEARCH("iOS",Table2[[#This Row],[platforms]]))</f>
        <v>0</v>
      </c>
      <c r="L142" s="1">
        <f>--ISNUMBER(SEARCH("macOS",Table2[[#This Row],[platforms]]))</f>
        <v>0</v>
      </c>
      <c r="M142" s="1">
        <f>--ISNUMBER(SEARCH("Cloud",Table2[[#This Row],[platforms]]))</f>
        <v>0</v>
      </c>
      <c r="N142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43" spans="1:14" ht="272" x14ac:dyDescent="0.2">
      <c r="A143" t="str">
        <f t="shared" si="2"/>
        <v>142</v>
      </c>
      <c r="B143" s="1" t="s">
        <v>158</v>
      </c>
      <c r="C143" s="1" t="s">
        <v>214</v>
      </c>
      <c r="E143" t="s">
        <v>23</v>
      </c>
      <c r="F143" s="1" t="s">
        <v>217</v>
      </c>
      <c r="G143" s="1" t="s">
        <v>221</v>
      </c>
      <c r="H143" s="1">
        <f>--ISNUMBER(SEARCH("Windows",Table2[[#This Row],[platforms]]))</f>
        <v>0</v>
      </c>
      <c r="I143" s="1">
        <f>--ISNUMBER(SEARCH("Android",Table2[[#This Row],[platforms]]))</f>
        <v>0</v>
      </c>
      <c r="J143" s="1">
        <f>--ISNUMBER(SEARCH("Linux",Table2[[#This Row],[platforms]]))</f>
        <v>0</v>
      </c>
      <c r="K143" s="1">
        <f>--ISNUMBER(SEARCH("iOS",Table2[[#This Row],[platforms]]))</f>
        <v>0</v>
      </c>
      <c r="L143" s="1">
        <f>--ISNUMBER(SEARCH("macOS",Table2[[#This Row],[platforms]]))</f>
        <v>0</v>
      </c>
      <c r="M143" s="1">
        <f>--ISNUMBER(SEARCH("Cloud",Table2[[#This Row],[platforms]]))</f>
        <v>0</v>
      </c>
      <c r="N14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44" spans="1:14" ht="221" x14ac:dyDescent="0.2">
      <c r="A144" t="str">
        <f t="shared" si="2"/>
        <v>143</v>
      </c>
      <c r="B144" s="1" t="s">
        <v>159</v>
      </c>
      <c r="C144" s="1" t="s">
        <v>5</v>
      </c>
      <c r="E144" t="s">
        <v>213</v>
      </c>
      <c r="F144" s="1" t="s">
        <v>216</v>
      </c>
      <c r="G144" s="1" t="s">
        <v>232</v>
      </c>
      <c r="H144" s="1">
        <f>--ISNUMBER(SEARCH("Windows",Table2[[#This Row],[platforms]]))</f>
        <v>1</v>
      </c>
      <c r="I144" s="1">
        <f>--ISNUMBER(SEARCH("Android",Table2[[#This Row],[platforms]]))</f>
        <v>0</v>
      </c>
      <c r="J144" s="1">
        <f>--ISNUMBER(SEARCH("Linux",Table2[[#This Row],[platforms]]))</f>
        <v>0</v>
      </c>
      <c r="K144" s="1">
        <f>--ISNUMBER(SEARCH("iOS",Table2[[#This Row],[platforms]]))</f>
        <v>0</v>
      </c>
      <c r="L144" s="1">
        <f>--ISNUMBER(SEARCH("macOS",Table2[[#This Row],[platforms]]))</f>
        <v>0</v>
      </c>
      <c r="M144" s="1">
        <f>--ISNUMBER(SEARCH("Cloud",Table2[[#This Row],[platforms]]))</f>
        <v>0</v>
      </c>
      <c r="N144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45" spans="1:14" ht="187" x14ac:dyDescent="0.2">
      <c r="A145" t="str">
        <f t="shared" si="2"/>
        <v>144</v>
      </c>
      <c r="B145" s="1" t="s">
        <v>160</v>
      </c>
      <c r="C145" s="1" t="s">
        <v>26</v>
      </c>
      <c r="E145" t="s">
        <v>23</v>
      </c>
      <c r="F145" s="1" t="s">
        <v>216</v>
      </c>
      <c r="G145" s="1" t="s">
        <v>238</v>
      </c>
      <c r="H145" s="1">
        <f>--ISNUMBER(SEARCH("Windows",Table2[[#This Row],[platforms]]))</f>
        <v>0</v>
      </c>
      <c r="I145" s="1">
        <f>--ISNUMBER(SEARCH("Android",Table2[[#This Row],[platforms]]))</f>
        <v>0</v>
      </c>
      <c r="J145" s="1">
        <f>--ISNUMBER(SEARCH("Linux",Table2[[#This Row],[platforms]]))</f>
        <v>1</v>
      </c>
      <c r="K145" s="1">
        <f>--ISNUMBER(SEARCH("iOS",Table2[[#This Row],[platforms]]))</f>
        <v>0</v>
      </c>
      <c r="L145" s="1">
        <f>--ISNUMBER(SEARCH("macOS",Table2[[#This Row],[platforms]]))</f>
        <v>0</v>
      </c>
      <c r="M145" s="1">
        <f>--ISNUMBER(SEARCH("Cloud",Table2[[#This Row],[platforms]]))</f>
        <v>0</v>
      </c>
      <c r="N145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46" spans="1:14" ht="221" x14ac:dyDescent="0.2">
      <c r="A146" t="str">
        <f t="shared" si="2"/>
        <v>145</v>
      </c>
      <c r="B146" s="1" t="s">
        <v>161</v>
      </c>
      <c r="C146" s="1" t="s">
        <v>214</v>
      </c>
      <c r="E146" t="s">
        <v>23</v>
      </c>
      <c r="F146" s="1" t="s">
        <v>217</v>
      </c>
      <c r="G146" s="1" t="s">
        <v>221</v>
      </c>
      <c r="H146" s="1">
        <f>--ISNUMBER(SEARCH("Windows",Table2[[#This Row],[platforms]]))</f>
        <v>0</v>
      </c>
      <c r="I146" s="1">
        <f>--ISNUMBER(SEARCH("Android",Table2[[#This Row],[platforms]]))</f>
        <v>0</v>
      </c>
      <c r="J146" s="1">
        <f>--ISNUMBER(SEARCH("Linux",Table2[[#This Row],[platforms]]))</f>
        <v>0</v>
      </c>
      <c r="K146" s="1">
        <f>--ISNUMBER(SEARCH("iOS",Table2[[#This Row],[platforms]]))</f>
        <v>0</v>
      </c>
      <c r="L146" s="1">
        <f>--ISNUMBER(SEARCH("macOS",Table2[[#This Row],[platforms]]))</f>
        <v>0</v>
      </c>
      <c r="M146" s="1">
        <f>--ISNUMBER(SEARCH("Cloud",Table2[[#This Row],[platforms]]))</f>
        <v>0</v>
      </c>
      <c r="N146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47" spans="1:14" ht="187" x14ac:dyDescent="0.2">
      <c r="A147" t="str">
        <f t="shared" si="2"/>
        <v>146</v>
      </c>
      <c r="B147" s="1" t="s">
        <v>162</v>
      </c>
      <c r="C147" s="1" t="s">
        <v>214</v>
      </c>
      <c r="E147" t="s">
        <v>16</v>
      </c>
      <c r="F147" s="1" t="s">
        <v>217</v>
      </c>
      <c r="G147" s="1" t="s">
        <v>221</v>
      </c>
      <c r="H147" s="1">
        <f>--ISNUMBER(SEARCH("Windows",Table2[[#This Row],[platforms]]))</f>
        <v>0</v>
      </c>
      <c r="I147" s="1">
        <f>--ISNUMBER(SEARCH("Android",Table2[[#This Row],[platforms]]))</f>
        <v>0</v>
      </c>
      <c r="J147" s="1">
        <f>--ISNUMBER(SEARCH("Linux",Table2[[#This Row],[platforms]]))</f>
        <v>0</v>
      </c>
      <c r="K147" s="1">
        <f>--ISNUMBER(SEARCH("iOS",Table2[[#This Row],[platforms]]))</f>
        <v>0</v>
      </c>
      <c r="L147" s="1">
        <f>--ISNUMBER(SEARCH("macOS",Table2[[#This Row],[platforms]]))</f>
        <v>0</v>
      </c>
      <c r="M147" s="1">
        <f>--ISNUMBER(SEARCH("Cloud",Table2[[#This Row],[platforms]]))</f>
        <v>0</v>
      </c>
      <c r="N147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48" spans="1:14" ht="170" x14ac:dyDescent="0.2">
      <c r="A148" t="str">
        <f t="shared" si="2"/>
        <v>147</v>
      </c>
      <c r="B148" s="1" t="s">
        <v>22</v>
      </c>
      <c r="C148" s="1" t="s">
        <v>8</v>
      </c>
      <c r="E148" t="s">
        <v>23</v>
      </c>
      <c r="F148" s="1" t="s">
        <v>217</v>
      </c>
      <c r="G148" s="1" t="s">
        <v>221</v>
      </c>
      <c r="H148" s="1">
        <f>--ISNUMBER(SEARCH("Windows",Table2[[#This Row],[platforms]]))</f>
        <v>0</v>
      </c>
      <c r="I148" s="1">
        <f>--ISNUMBER(SEARCH("Android",Table2[[#This Row],[platforms]]))</f>
        <v>0</v>
      </c>
      <c r="J148" s="1">
        <f>--ISNUMBER(SEARCH("Linux",Table2[[#This Row],[platforms]]))</f>
        <v>0</v>
      </c>
      <c r="K148" s="1">
        <f>--ISNUMBER(SEARCH("iOS",Table2[[#This Row],[platforms]]))</f>
        <v>0</v>
      </c>
      <c r="L148" s="1">
        <f>--ISNUMBER(SEARCH("macOS",Table2[[#This Row],[platforms]]))</f>
        <v>0</v>
      </c>
      <c r="M148" s="1">
        <f>--ISNUMBER(SEARCH("Cloud",Table2[[#This Row],[platforms]]))</f>
        <v>0</v>
      </c>
      <c r="N14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49" spans="1:14" ht="221" x14ac:dyDescent="0.2">
      <c r="A149" t="str">
        <f t="shared" si="2"/>
        <v>148</v>
      </c>
      <c r="B149" s="1" t="s">
        <v>163</v>
      </c>
      <c r="C149" s="1" t="s">
        <v>5</v>
      </c>
      <c r="E149" t="s">
        <v>23</v>
      </c>
      <c r="F149" s="1" t="s">
        <v>216</v>
      </c>
      <c r="G149" s="1" t="s">
        <v>232</v>
      </c>
      <c r="H149" s="1">
        <f>--ISNUMBER(SEARCH("Windows",Table2[[#This Row],[platforms]]))</f>
        <v>1</v>
      </c>
      <c r="I149" s="1">
        <f>--ISNUMBER(SEARCH("Android",Table2[[#This Row],[platforms]]))</f>
        <v>0</v>
      </c>
      <c r="J149" s="1">
        <f>--ISNUMBER(SEARCH("Linux",Table2[[#This Row],[platforms]]))</f>
        <v>0</v>
      </c>
      <c r="K149" s="1">
        <f>--ISNUMBER(SEARCH("iOS",Table2[[#This Row],[platforms]]))</f>
        <v>0</v>
      </c>
      <c r="L149" s="1">
        <f>--ISNUMBER(SEARCH("macOS",Table2[[#This Row],[platforms]]))</f>
        <v>0</v>
      </c>
      <c r="M149" s="1">
        <f>--ISNUMBER(SEARCH("Cloud",Table2[[#This Row],[platforms]]))</f>
        <v>0</v>
      </c>
      <c r="N149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50" spans="1:14" ht="204" x14ac:dyDescent="0.2">
      <c r="A150" t="str">
        <f t="shared" si="2"/>
        <v>149</v>
      </c>
      <c r="B150" s="1" t="s">
        <v>164</v>
      </c>
      <c r="C150" s="1" t="s">
        <v>10</v>
      </c>
      <c r="D150" s="1"/>
      <c r="E150" s="1" t="s">
        <v>57</v>
      </c>
      <c r="F150" s="1" t="s">
        <v>10</v>
      </c>
      <c r="G150" s="1" t="s">
        <v>234</v>
      </c>
      <c r="H150" s="1">
        <f>--ISNUMBER(SEARCH("Windows",Table2[[#This Row],[platforms]]))</f>
        <v>0</v>
      </c>
      <c r="I150" s="1">
        <f>--ISNUMBER(SEARCH("Android",Table2[[#This Row],[platforms]]))</f>
        <v>1</v>
      </c>
      <c r="J150" s="1">
        <f>--ISNUMBER(SEARCH("Linux",Table2[[#This Row],[platforms]]))</f>
        <v>0</v>
      </c>
      <c r="K150" s="1">
        <f>--ISNUMBER(SEARCH("iOS",Table2[[#This Row],[platforms]]))</f>
        <v>0</v>
      </c>
      <c r="L150" s="1">
        <f>--ISNUMBER(SEARCH("macOS",Table2[[#This Row],[platforms]]))</f>
        <v>0</v>
      </c>
      <c r="M150" s="1">
        <f>--ISNUMBER(SEARCH("Cloud",Table2[[#This Row],[platforms]]))</f>
        <v>0</v>
      </c>
      <c r="N150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51" spans="1:14" ht="204" x14ac:dyDescent="0.2">
      <c r="A151" t="str">
        <f t="shared" si="2"/>
        <v>150</v>
      </c>
      <c r="B151" s="1" t="s">
        <v>165</v>
      </c>
      <c r="C151" s="1" t="s">
        <v>10</v>
      </c>
      <c r="E151" t="s">
        <v>23</v>
      </c>
      <c r="F151" s="1" t="s">
        <v>10</v>
      </c>
      <c r="G151" s="1" t="s">
        <v>221</v>
      </c>
      <c r="H151" s="1">
        <f>--ISNUMBER(SEARCH("Windows",Table2[[#This Row],[platforms]]))</f>
        <v>0</v>
      </c>
      <c r="I151" s="1">
        <f>--ISNUMBER(SEARCH("Android",Table2[[#This Row],[platforms]]))</f>
        <v>0</v>
      </c>
      <c r="J151" s="1">
        <f>--ISNUMBER(SEARCH("Linux",Table2[[#This Row],[platforms]]))</f>
        <v>0</v>
      </c>
      <c r="K151" s="1">
        <f>--ISNUMBER(SEARCH("iOS",Table2[[#This Row],[platforms]]))</f>
        <v>0</v>
      </c>
      <c r="L151" s="1">
        <f>--ISNUMBER(SEARCH("macOS",Table2[[#This Row],[platforms]]))</f>
        <v>0</v>
      </c>
      <c r="M151" s="1">
        <f>--ISNUMBER(SEARCH("Cloud",Table2[[#This Row],[platforms]]))</f>
        <v>0</v>
      </c>
      <c r="N151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52" spans="1:14" ht="238" x14ac:dyDescent="0.2">
      <c r="A152" t="str">
        <f t="shared" si="2"/>
        <v>151</v>
      </c>
      <c r="B152" s="1" t="s">
        <v>166</v>
      </c>
      <c r="C152" s="1" t="s">
        <v>10</v>
      </c>
      <c r="E152" s="2" t="s">
        <v>6</v>
      </c>
      <c r="F152" s="1" t="s">
        <v>10</v>
      </c>
      <c r="G152" s="1" t="s">
        <v>240</v>
      </c>
      <c r="H152" s="1">
        <f>--ISNUMBER(SEARCH("Windows",Table2[[#This Row],[platforms]]))</f>
        <v>1</v>
      </c>
      <c r="I152" s="1">
        <f>--ISNUMBER(SEARCH("Android",Table2[[#This Row],[platforms]]))</f>
        <v>1</v>
      </c>
      <c r="J152" s="1">
        <f>--ISNUMBER(SEARCH("Linux",Table2[[#This Row],[platforms]]))</f>
        <v>0</v>
      </c>
      <c r="K152" s="1">
        <f>--ISNUMBER(SEARCH("iOS",Table2[[#This Row],[platforms]]))</f>
        <v>0</v>
      </c>
      <c r="L152" s="1">
        <f>--ISNUMBER(SEARCH("macOS",Table2[[#This Row],[platforms]]))</f>
        <v>0</v>
      </c>
      <c r="M152" s="1">
        <f>--ISNUMBER(SEARCH("Cloud",Table2[[#This Row],[platforms]]))</f>
        <v>0</v>
      </c>
      <c r="N152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53" spans="1:14" ht="221" x14ac:dyDescent="0.2">
      <c r="A153" t="str">
        <f t="shared" si="2"/>
        <v>152</v>
      </c>
      <c r="B153" s="1" t="s">
        <v>167</v>
      </c>
      <c r="C153" s="1" t="s">
        <v>214</v>
      </c>
      <c r="D153" s="1"/>
      <c r="E153" s="1" t="s">
        <v>57</v>
      </c>
      <c r="F153" s="1" t="s">
        <v>217</v>
      </c>
      <c r="G153" s="1" t="s">
        <v>221</v>
      </c>
      <c r="H153" s="1">
        <f>--ISNUMBER(SEARCH("Windows",Table2[[#This Row],[platforms]]))</f>
        <v>0</v>
      </c>
      <c r="I153" s="1">
        <f>--ISNUMBER(SEARCH("Android",Table2[[#This Row],[platforms]]))</f>
        <v>0</v>
      </c>
      <c r="J153" s="1">
        <f>--ISNUMBER(SEARCH("Linux",Table2[[#This Row],[platforms]]))</f>
        <v>0</v>
      </c>
      <c r="K153" s="1">
        <f>--ISNUMBER(SEARCH("iOS",Table2[[#This Row],[platforms]]))</f>
        <v>0</v>
      </c>
      <c r="L153" s="1">
        <f>--ISNUMBER(SEARCH("macOS",Table2[[#This Row],[platforms]]))</f>
        <v>0</v>
      </c>
      <c r="M153" s="1">
        <f>--ISNUMBER(SEARCH("Cloud",Table2[[#This Row],[platforms]]))</f>
        <v>0</v>
      </c>
      <c r="N15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54" spans="1:14" ht="221" x14ac:dyDescent="0.2">
      <c r="A154" t="str">
        <f t="shared" si="2"/>
        <v>153</v>
      </c>
      <c r="B154" s="1" t="s">
        <v>168</v>
      </c>
      <c r="C154" s="1" t="s">
        <v>214</v>
      </c>
      <c r="D154" s="1"/>
      <c r="E154" s="1" t="s">
        <v>23</v>
      </c>
      <c r="F154" s="1" t="s">
        <v>217</v>
      </c>
      <c r="G154" s="1" t="s">
        <v>221</v>
      </c>
      <c r="H154" s="1">
        <f>--ISNUMBER(SEARCH("Windows",Table2[[#This Row],[platforms]]))</f>
        <v>0</v>
      </c>
      <c r="I154" s="1">
        <f>--ISNUMBER(SEARCH("Android",Table2[[#This Row],[platforms]]))</f>
        <v>0</v>
      </c>
      <c r="J154" s="1">
        <f>--ISNUMBER(SEARCH("Linux",Table2[[#This Row],[platforms]]))</f>
        <v>0</v>
      </c>
      <c r="K154" s="1">
        <f>--ISNUMBER(SEARCH("iOS",Table2[[#This Row],[platforms]]))</f>
        <v>0</v>
      </c>
      <c r="L154" s="1">
        <f>--ISNUMBER(SEARCH("macOS",Table2[[#This Row],[platforms]]))</f>
        <v>0</v>
      </c>
      <c r="M154" s="1">
        <f>--ISNUMBER(SEARCH("Cloud",Table2[[#This Row],[platforms]]))</f>
        <v>0</v>
      </c>
      <c r="N154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55" spans="1:14" ht="204" x14ac:dyDescent="0.2">
      <c r="A155" t="str">
        <f t="shared" si="2"/>
        <v>154</v>
      </c>
      <c r="B155" s="1" t="s">
        <v>169</v>
      </c>
      <c r="C155" s="1" t="s">
        <v>20</v>
      </c>
      <c r="D155" s="1"/>
      <c r="E155" s="1" t="s">
        <v>23</v>
      </c>
      <c r="F155" s="1" t="s">
        <v>217</v>
      </c>
      <c r="G155" s="1" t="s">
        <v>221</v>
      </c>
      <c r="H155" s="1">
        <f>--ISNUMBER(SEARCH("Windows",Table2[[#This Row],[platforms]]))</f>
        <v>0</v>
      </c>
      <c r="I155" s="1">
        <f>--ISNUMBER(SEARCH("Android",Table2[[#This Row],[platforms]]))</f>
        <v>0</v>
      </c>
      <c r="J155" s="1">
        <f>--ISNUMBER(SEARCH("Linux",Table2[[#This Row],[platforms]]))</f>
        <v>0</v>
      </c>
      <c r="K155" s="1">
        <f>--ISNUMBER(SEARCH("iOS",Table2[[#This Row],[platforms]]))</f>
        <v>0</v>
      </c>
      <c r="L155" s="1">
        <f>--ISNUMBER(SEARCH("macOS",Table2[[#This Row],[platforms]]))</f>
        <v>0</v>
      </c>
      <c r="M155" s="1">
        <f>--ISNUMBER(SEARCH("Cloud",Table2[[#This Row],[platforms]]))</f>
        <v>0</v>
      </c>
      <c r="N155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56" spans="1:14" ht="170" x14ac:dyDescent="0.2">
      <c r="A156" t="str">
        <f t="shared" si="2"/>
        <v>155</v>
      </c>
      <c r="B156" s="1" t="s">
        <v>170</v>
      </c>
      <c r="C156" s="1" t="s">
        <v>8</v>
      </c>
      <c r="D156" s="1"/>
      <c r="E156" s="1" t="s">
        <v>23</v>
      </c>
      <c r="F156" s="1" t="s">
        <v>216</v>
      </c>
      <c r="G156" s="1" t="s">
        <v>232</v>
      </c>
      <c r="H156" s="1">
        <f>--ISNUMBER(SEARCH("Windows",Table2[[#This Row],[platforms]]))</f>
        <v>1</v>
      </c>
      <c r="I156" s="1">
        <f>--ISNUMBER(SEARCH("Android",Table2[[#This Row],[platforms]]))</f>
        <v>0</v>
      </c>
      <c r="J156" s="1">
        <f>--ISNUMBER(SEARCH("Linux",Table2[[#This Row],[platforms]]))</f>
        <v>0</v>
      </c>
      <c r="K156" s="1">
        <f>--ISNUMBER(SEARCH("iOS",Table2[[#This Row],[platforms]]))</f>
        <v>0</v>
      </c>
      <c r="L156" s="1">
        <f>--ISNUMBER(SEARCH("macOS",Table2[[#This Row],[platforms]]))</f>
        <v>0</v>
      </c>
      <c r="M156" s="1">
        <f>--ISNUMBER(SEARCH("Cloud",Table2[[#This Row],[platforms]]))</f>
        <v>0</v>
      </c>
      <c r="N156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57" spans="1:14" ht="204" x14ac:dyDescent="0.2">
      <c r="A157" t="str">
        <f t="shared" si="2"/>
        <v>156</v>
      </c>
      <c r="B157" s="1" t="s">
        <v>171</v>
      </c>
      <c r="C157" s="1" t="s">
        <v>5</v>
      </c>
      <c r="E157" s="2" t="s">
        <v>6</v>
      </c>
      <c r="F157" s="1" t="s">
        <v>216</v>
      </c>
      <c r="G157" s="1" t="s">
        <v>232</v>
      </c>
      <c r="H157" s="1">
        <f>--ISNUMBER(SEARCH("Windows",Table2[[#This Row],[platforms]]))</f>
        <v>1</v>
      </c>
      <c r="I157" s="1">
        <f>--ISNUMBER(SEARCH("Android",Table2[[#This Row],[platforms]]))</f>
        <v>0</v>
      </c>
      <c r="J157" s="1">
        <f>--ISNUMBER(SEARCH("Linux",Table2[[#This Row],[platforms]]))</f>
        <v>0</v>
      </c>
      <c r="K157" s="1">
        <f>--ISNUMBER(SEARCH("iOS",Table2[[#This Row],[platforms]]))</f>
        <v>0</v>
      </c>
      <c r="L157" s="1">
        <f>--ISNUMBER(SEARCH("macOS",Table2[[#This Row],[platforms]]))</f>
        <v>0</v>
      </c>
      <c r="M157" s="1">
        <f>--ISNUMBER(SEARCH("Cloud",Table2[[#This Row],[platforms]]))</f>
        <v>0</v>
      </c>
      <c r="N157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58" spans="1:14" ht="221" x14ac:dyDescent="0.2">
      <c r="A158" t="str">
        <f t="shared" si="2"/>
        <v>157</v>
      </c>
      <c r="B158" s="1" t="s">
        <v>172</v>
      </c>
      <c r="C158" s="1" t="s">
        <v>214</v>
      </c>
      <c r="E158" s="2" t="s">
        <v>6</v>
      </c>
      <c r="F158" s="1" t="s">
        <v>217</v>
      </c>
      <c r="G158" s="1" t="s">
        <v>221</v>
      </c>
      <c r="H158" s="1">
        <f>--ISNUMBER(SEARCH("Windows",Table2[[#This Row],[platforms]]))</f>
        <v>0</v>
      </c>
      <c r="I158" s="1">
        <f>--ISNUMBER(SEARCH("Android",Table2[[#This Row],[platforms]]))</f>
        <v>0</v>
      </c>
      <c r="J158" s="1">
        <f>--ISNUMBER(SEARCH("Linux",Table2[[#This Row],[platforms]]))</f>
        <v>0</v>
      </c>
      <c r="K158" s="1">
        <f>--ISNUMBER(SEARCH("iOS",Table2[[#This Row],[platforms]]))</f>
        <v>0</v>
      </c>
      <c r="L158" s="1">
        <f>--ISNUMBER(SEARCH("macOS",Table2[[#This Row],[platforms]]))</f>
        <v>0</v>
      </c>
      <c r="M158" s="1">
        <f>--ISNUMBER(SEARCH("Cloud",Table2[[#This Row],[platforms]]))</f>
        <v>0</v>
      </c>
      <c r="N15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59" spans="1:14" ht="221" x14ac:dyDescent="0.2">
      <c r="A159" t="str">
        <f t="shared" si="2"/>
        <v>158</v>
      </c>
      <c r="B159" s="1" t="s">
        <v>173</v>
      </c>
      <c r="C159" s="1" t="s">
        <v>214</v>
      </c>
      <c r="E159" t="s">
        <v>23</v>
      </c>
      <c r="F159" s="1" t="s">
        <v>217</v>
      </c>
      <c r="G159" s="1" t="s">
        <v>221</v>
      </c>
      <c r="H159" s="1">
        <f>--ISNUMBER(SEARCH("Windows",Table2[[#This Row],[platforms]]))</f>
        <v>0</v>
      </c>
      <c r="I159" s="1">
        <f>--ISNUMBER(SEARCH("Android",Table2[[#This Row],[platforms]]))</f>
        <v>0</v>
      </c>
      <c r="J159" s="1">
        <f>--ISNUMBER(SEARCH("Linux",Table2[[#This Row],[platforms]]))</f>
        <v>0</v>
      </c>
      <c r="K159" s="1">
        <f>--ISNUMBER(SEARCH("iOS",Table2[[#This Row],[platforms]]))</f>
        <v>0</v>
      </c>
      <c r="L159" s="1">
        <f>--ISNUMBER(SEARCH("macOS",Table2[[#This Row],[platforms]]))</f>
        <v>0</v>
      </c>
      <c r="M159" s="1">
        <f>--ISNUMBER(SEARCH("Cloud",Table2[[#This Row],[platforms]]))</f>
        <v>0</v>
      </c>
      <c r="N159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60" spans="1:14" ht="238" x14ac:dyDescent="0.2">
      <c r="A160" t="str">
        <f t="shared" si="2"/>
        <v>159</v>
      </c>
      <c r="B160" s="1" t="s">
        <v>174</v>
      </c>
      <c r="C160" s="1" t="s">
        <v>8</v>
      </c>
      <c r="E160" s="2" t="s">
        <v>6</v>
      </c>
      <c r="F160" s="1" t="s">
        <v>217</v>
      </c>
      <c r="G160" s="1" t="s">
        <v>221</v>
      </c>
      <c r="H160" s="1">
        <f>--ISNUMBER(SEARCH("Windows",Table2[[#This Row],[platforms]]))</f>
        <v>0</v>
      </c>
      <c r="I160" s="1">
        <f>--ISNUMBER(SEARCH("Android",Table2[[#This Row],[platforms]]))</f>
        <v>0</v>
      </c>
      <c r="J160" s="1">
        <f>--ISNUMBER(SEARCH("Linux",Table2[[#This Row],[platforms]]))</f>
        <v>0</v>
      </c>
      <c r="K160" s="1">
        <f>--ISNUMBER(SEARCH("iOS",Table2[[#This Row],[platforms]]))</f>
        <v>0</v>
      </c>
      <c r="L160" s="1">
        <f>--ISNUMBER(SEARCH("macOS",Table2[[#This Row],[platforms]]))</f>
        <v>0</v>
      </c>
      <c r="M160" s="1">
        <f>--ISNUMBER(SEARCH("Cloud",Table2[[#This Row],[platforms]]))</f>
        <v>0</v>
      </c>
      <c r="N160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61" spans="1:14" ht="170" x14ac:dyDescent="0.2">
      <c r="A161" t="str">
        <f t="shared" si="2"/>
        <v>160</v>
      </c>
      <c r="B161" s="1" t="s">
        <v>175</v>
      </c>
      <c r="C161" s="1" t="s">
        <v>10</v>
      </c>
      <c r="E161" t="s">
        <v>23</v>
      </c>
      <c r="F161" s="1" t="s">
        <v>10</v>
      </c>
      <c r="G161" s="1" t="s">
        <v>234</v>
      </c>
      <c r="H161" s="1">
        <f>--ISNUMBER(SEARCH("Windows",Table2[[#This Row],[platforms]]))</f>
        <v>0</v>
      </c>
      <c r="I161" s="1">
        <f>--ISNUMBER(SEARCH("Android",Table2[[#This Row],[platforms]]))</f>
        <v>1</v>
      </c>
      <c r="J161" s="1">
        <f>--ISNUMBER(SEARCH("Linux",Table2[[#This Row],[platforms]]))</f>
        <v>0</v>
      </c>
      <c r="K161" s="1">
        <f>--ISNUMBER(SEARCH("iOS",Table2[[#This Row],[platforms]]))</f>
        <v>0</v>
      </c>
      <c r="L161" s="1">
        <f>--ISNUMBER(SEARCH("macOS",Table2[[#This Row],[platforms]]))</f>
        <v>0</v>
      </c>
      <c r="M161" s="1">
        <f>--ISNUMBER(SEARCH("Cloud",Table2[[#This Row],[platforms]]))</f>
        <v>0</v>
      </c>
      <c r="N161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62" spans="1:14" ht="272" x14ac:dyDescent="0.2">
      <c r="A162" t="str">
        <f t="shared" si="2"/>
        <v>161</v>
      </c>
      <c r="B162" s="1" t="s">
        <v>176</v>
      </c>
      <c r="C162" s="1" t="s">
        <v>5</v>
      </c>
      <c r="E162" t="s">
        <v>23</v>
      </c>
      <c r="F162" s="1" t="s">
        <v>216</v>
      </c>
      <c r="G162" s="1" t="s">
        <v>238</v>
      </c>
      <c r="H162" s="1">
        <f>--ISNUMBER(SEARCH("Windows",Table2[[#This Row],[platforms]]))</f>
        <v>0</v>
      </c>
      <c r="I162" s="1">
        <f>--ISNUMBER(SEARCH("Android",Table2[[#This Row],[platforms]]))</f>
        <v>0</v>
      </c>
      <c r="J162" s="1">
        <f>--ISNUMBER(SEARCH("Linux",Table2[[#This Row],[platforms]]))</f>
        <v>1</v>
      </c>
      <c r="K162" s="1">
        <f>--ISNUMBER(SEARCH("iOS",Table2[[#This Row],[platforms]]))</f>
        <v>0</v>
      </c>
      <c r="L162" s="1">
        <f>--ISNUMBER(SEARCH("macOS",Table2[[#This Row],[platforms]]))</f>
        <v>0</v>
      </c>
      <c r="M162" s="1">
        <f>--ISNUMBER(SEARCH("Cloud",Table2[[#This Row],[platforms]]))</f>
        <v>0</v>
      </c>
      <c r="N162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63" spans="1:14" ht="272" x14ac:dyDescent="0.2">
      <c r="A163" t="str">
        <f t="shared" si="2"/>
        <v>162</v>
      </c>
      <c r="B163" s="1" t="s">
        <v>177</v>
      </c>
      <c r="C163" s="1" t="s">
        <v>214</v>
      </c>
      <c r="E163" t="s">
        <v>23</v>
      </c>
      <c r="F163" s="1" t="s">
        <v>217</v>
      </c>
      <c r="G163" s="1" t="s">
        <v>221</v>
      </c>
      <c r="H163" s="1">
        <f>--ISNUMBER(SEARCH("Windows",Table2[[#This Row],[platforms]]))</f>
        <v>0</v>
      </c>
      <c r="I163" s="1">
        <f>--ISNUMBER(SEARCH("Android",Table2[[#This Row],[platforms]]))</f>
        <v>0</v>
      </c>
      <c r="J163" s="1">
        <f>--ISNUMBER(SEARCH("Linux",Table2[[#This Row],[platforms]]))</f>
        <v>0</v>
      </c>
      <c r="K163" s="1">
        <f>--ISNUMBER(SEARCH("iOS",Table2[[#This Row],[platforms]]))</f>
        <v>0</v>
      </c>
      <c r="L163" s="1">
        <f>--ISNUMBER(SEARCH("macOS",Table2[[#This Row],[platforms]]))</f>
        <v>0</v>
      </c>
      <c r="M163" s="1">
        <f>--ISNUMBER(SEARCH("Cloud",Table2[[#This Row],[platforms]]))</f>
        <v>0</v>
      </c>
      <c r="N16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64" spans="1:14" ht="187" x14ac:dyDescent="0.2">
      <c r="A164" t="str">
        <f t="shared" si="2"/>
        <v>163</v>
      </c>
      <c r="B164" s="1" t="s">
        <v>178</v>
      </c>
      <c r="C164" s="1" t="s">
        <v>10</v>
      </c>
      <c r="E164" s="2" t="s">
        <v>6</v>
      </c>
      <c r="F164" s="1" t="s">
        <v>10</v>
      </c>
      <c r="G164" s="1" t="s">
        <v>234</v>
      </c>
      <c r="H164" s="1">
        <f>--ISNUMBER(SEARCH("Windows",Table2[[#This Row],[platforms]]))</f>
        <v>0</v>
      </c>
      <c r="I164" s="1">
        <f>--ISNUMBER(SEARCH("Android",Table2[[#This Row],[platforms]]))</f>
        <v>1</v>
      </c>
      <c r="J164" s="1">
        <f>--ISNUMBER(SEARCH("Linux",Table2[[#This Row],[platforms]]))</f>
        <v>0</v>
      </c>
      <c r="K164" s="1">
        <f>--ISNUMBER(SEARCH("iOS",Table2[[#This Row],[platforms]]))</f>
        <v>0</v>
      </c>
      <c r="L164" s="1">
        <f>--ISNUMBER(SEARCH("macOS",Table2[[#This Row],[platforms]]))</f>
        <v>0</v>
      </c>
      <c r="M164" s="1">
        <f>--ISNUMBER(SEARCH("Cloud",Table2[[#This Row],[platforms]]))</f>
        <v>0</v>
      </c>
      <c r="N164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65" spans="1:14" ht="238" x14ac:dyDescent="0.2">
      <c r="A165" t="str">
        <f t="shared" si="2"/>
        <v>164</v>
      </c>
      <c r="B165" s="1" t="s">
        <v>179</v>
      </c>
      <c r="C165" s="1" t="s">
        <v>8</v>
      </c>
      <c r="E165" t="s">
        <v>23</v>
      </c>
      <c r="F165" s="1" t="s">
        <v>217</v>
      </c>
      <c r="G165" s="1" t="s">
        <v>221</v>
      </c>
      <c r="H165" s="1">
        <f>--ISNUMBER(SEARCH("Windows",Table2[[#This Row],[platforms]]))</f>
        <v>0</v>
      </c>
      <c r="I165" s="1">
        <f>--ISNUMBER(SEARCH("Android",Table2[[#This Row],[platforms]]))</f>
        <v>0</v>
      </c>
      <c r="J165" s="1">
        <f>--ISNUMBER(SEARCH("Linux",Table2[[#This Row],[platforms]]))</f>
        <v>0</v>
      </c>
      <c r="K165" s="1">
        <f>--ISNUMBER(SEARCH("iOS",Table2[[#This Row],[platforms]]))</f>
        <v>0</v>
      </c>
      <c r="L165" s="1">
        <f>--ISNUMBER(SEARCH("macOS",Table2[[#This Row],[platforms]]))</f>
        <v>0</v>
      </c>
      <c r="M165" s="1">
        <f>--ISNUMBER(SEARCH("Cloud",Table2[[#This Row],[platforms]]))</f>
        <v>0</v>
      </c>
      <c r="N165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66" spans="1:14" ht="221" x14ac:dyDescent="0.2">
      <c r="A166" t="str">
        <f t="shared" si="2"/>
        <v>165</v>
      </c>
      <c r="B166" s="1" t="s">
        <v>180</v>
      </c>
      <c r="C166" s="1" t="s">
        <v>5</v>
      </c>
      <c r="E166" t="s">
        <v>23</v>
      </c>
      <c r="F166" s="1" t="s">
        <v>216</v>
      </c>
      <c r="G166" s="1" t="s">
        <v>232</v>
      </c>
      <c r="H166" s="1">
        <f>--ISNUMBER(SEARCH("Windows",Table2[[#This Row],[platforms]]))</f>
        <v>1</v>
      </c>
      <c r="I166" s="1">
        <f>--ISNUMBER(SEARCH("Android",Table2[[#This Row],[platforms]]))</f>
        <v>0</v>
      </c>
      <c r="J166" s="1">
        <f>--ISNUMBER(SEARCH("Linux",Table2[[#This Row],[platforms]]))</f>
        <v>0</v>
      </c>
      <c r="K166" s="1">
        <f>--ISNUMBER(SEARCH("iOS",Table2[[#This Row],[platforms]]))</f>
        <v>0</v>
      </c>
      <c r="L166" s="1">
        <f>--ISNUMBER(SEARCH("macOS",Table2[[#This Row],[platforms]]))</f>
        <v>0</v>
      </c>
      <c r="M166" s="1">
        <f>--ISNUMBER(SEARCH("Cloud",Table2[[#This Row],[platforms]]))</f>
        <v>0</v>
      </c>
      <c r="N166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67" spans="1:14" ht="170" x14ac:dyDescent="0.2">
      <c r="A167" t="str">
        <f t="shared" si="2"/>
        <v>166</v>
      </c>
      <c r="B167" s="1" t="s">
        <v>181</v>
      </c>
      <c r="C167" s="1" t="s">
        <v>10</v>
      </c>
      <c r="E167" t="s">
        <v>23</v>
      </c>
      <c r="F167" s="1" t="s">
        <v>10</v>
      </c>
      <c r="G167" s="1" t="s">
        <v>234</v>
      </c>
      <c r="H167" s="1">
        <f>--ISNUMBER(SEARCH("Windows",Table2[[#This Row],[platforms]]))</f>
        <v>0</v>
      </c>
      <c r="I167" s="1">
        <f>--ISNUMBER(SEARCH("Android",Table2[[#This Row],[platforms]]))</f>
        <v>1</v>
      </c>
      <c r="J167" s="1">
        <f>--ISNUMBER(SEARCH("Linux",Table2[[#This Row],[platforms]]))</f>
        <v>0</v>
      </c>
      <c r="K167" s="1">
        <f>--ISNUMBER(SEARCH("iOS",Table2[[#This Row],[platforms]]))</f>
        <v>0</v>
      </c>
      <c r="L167" s="1">
        <f>--ISNUMBER(SEARCH("macOS",Table2[[#This Row],[platforms]]))</f>
        <v>0</v>
      </c>
      <c r="M167" s="1">
        <f>--ISNUMBER(SEARCH("Cloud",Table2[[#This Row],[platforms]]))</f>
        <v>0</v>
      </c>
      <c r="N167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68" spans="1:14" ht="187" x14ac:dyDescent="0.2">
      <c r="A168" t="str">
        <f t="shared" si="2"/>
        <v>167</v>
      </c>
      <c r="B168" s="1" t="s">
        <v>182</v>
      </c>
      <c r="C168" s="1" t="s">
        <v>10</v>
      </c>
      <c r="E168" t="s">
        <v>23</v>
      </c>
      <c r="F168" s="1" t="s">
        <v>10</v>
      </c>
      <c r="G168" s="1" t="s">
        <v>234</v>
      </c>
      <c r="H168" s="1">
        <f>--ISNUMBER(SEARCH("Windows",Table2[[#This Row],[platforms]]))</f>
        <v>0</v>
      </c>
      <c r="I168" s="1">
        <f>--ISNUMBER(SEARCH("Android",Table2[[#This Row],[platforms]]))</f>
        <v>1</v>
      </c>
      <c r="J168" s="1">
        <f>--ISNUMBER(SEARCH("Linux",Table2[[#This Row],[platforms]]))</f>
        <v>0</v>
      </c>
      <c r="K168" s="1">
        <f>--ISNUMBER(SEARCH("iOS",Table2[[#This Row],[platforms]]))</f>
        <v>0</v>
      </c>
      <c r="L168" s="1">
        <f>--ISNUMBER(SEARCH("macOS",Table2[[#This Row],[platforms]]))</f>
        <v>0</v>
      </c>
      <c r="M168" s="1">
        <f>--ISNUMBER(SEARCH("Cloud",Table2[[#This Row],[platforms]]))</f>
        <v>0</v>
      </c>
      <c r="N168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69" spans="1:14" ht="204" x14ac:dyDescent="0.2">
      <c r="A169" t="str">
        <f t="shared" si="2"/>
        <v>168</v>
      </c>
      <c r="B169" s="4" t="s">
        <v>183</v>
      </c>
      <c r="C169" s="1" t="s">
        <v>214</v>
      </c>
      <c r="D169" s="1" t="s">
        <v>29</v>
      </c>
      <c r="E169" t="s">
        <v>23</v>
      </c>
      <c r="F169" s="1" t="s">
        <v>217</v>
      </c>
      <c r="G169" s="1" t="s">
        <v>221</v>
      </c>
      <c r="H169" s="1">
        <f>--ISNUMBER(SEARCH("Windows",Table2[[#This Row],[platforms]]))</f>
        <v>0</v>
      </c>
      <c r="I169" s="1">
        <f>--ISNUMBER(SEARCH("Android",Table2[[#This Row],[platforms]]))</f>
        <v>0</v>
      </c>
      <c r="J169" s="1">
        <f>--ISNUMBER(SEARCH("Linux",Table2[[#This Row],[platforms]]))</f>
        <v>0</v>
      </c>
      <c r="K169" s="1">
        <f>--ISNUMBER(SEARCH("iOS",Table2[[#This Row],[platforms]]))</f>
        <v>0</v>
      </c>
      <c r="L169" s="1">
        <f>--ISNUMBER(SEARCH("macOS",Table2[[#This Row],[platforms]]))</f>
        <v>0</v>
      </c>
      <c r="M169" s="1">
        <f>--ISNUMBER(SEARCH("Cloud",Table2[[#This Row],[platforms]]))</f>
        <v>0</v>
      </c>
      <c r="N169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70" spans="1:14" ht="204" x14ac:dyDescent="0.2">
      <c r="A170" t="str">
        <f t="shared" si="2"/>
        <v>169</v>
      </c>
      <c r="B170" s="1" t="s">
        <v>184</v>
      </c>
      <c r="C170" s="1" t="s">
        <v>10</v>
      </c>
      <c r="E170" t="s">
        <v>23</v>
      </c>
      <c r="F170" s="1" t="s">
        <v>10</v>
      </c>
      <c r="G170" s="1" t="s">
        <v>234</v>
      </c>
      <c r="H170" s="1">
        <f>--ISNUMBER(SEARCH("Windows",Table2[[#This Row],[platforms]]))</f>
        <v>0</v>
      </c>
      <c r="I170" s="1">
        <f>--ISNUMBER(SEARCH("Android",Table2[[#This Row],[platforms]]))</f>
        <v>1</v>
      </c>
      <c r="J170" s="1">
        <f>--ISNUMBER(SEARCH("Linux",Table2[[#This Row],[platforms]]))</f>
        <v>0</v>
      </c>
      <c r="K170" s="1">
        <f>--ISNUMBER(SEARCH("iOS",Table2[[#This Row],[platforms]]))</f>
        <v>0</v>
      </c>
      <c r="L170" s="1">
        <f>--ISNUMBER(SEARCH("macOS",Table2[[#This Row],[platforms]]))</f>
        <v>0</v>
      </c>
      <c r="M170" s="1">
        <f>--ISNUMBER(SEARCH("Cloud",Table2[[#This Row],[platforms]]))</f>
        <v>0</v>
      </c>
      <c r="N170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71" spans="1:14" ht="255" x14ac:dyDescent="0.2">
      <c r="A171" t="str">
        <f t="shared" si="2"/>
        <v>170</v>
      </c>
      <c r="B171" s="1" t="s">
        <v>185</v>
      </c>
      <c r="C171" s="1" t="s">
        <v>214</v>
      </c>
      <c r="E171" t="s">
        <v>23</v>
      </c>
      <c r="F171" s="1" t="s">
        <v>217</v>
      </c>
      <c r="G171" s="1" t="s">
        <v>221</v>
      </c>
      <c r="H171" s="1">
        <f>--ISNUMBER(SEARCH("Windows",Table2[[#This Row],[platforms]]))</f>
        <v>0</v>
      </c>
      <c r="I171" s="1">
        <f>--ISNUMBER(SEARCH("Android",Table2[[#This Row],[platforms]]))</f>
        <v>0</v>
      </c>
      <c r="J171" s="1">
        <f>--ISNUMBER(SEARCH("Linux",Table2[[#This Row],[platforms]]))</f>
        <v>0</v>
      </c>
      <c r="K171" s="1">
        <f>--ISNUMBER(SEARCH("iOS",Table2[[#This Row],[platforms]]))</f>
        <v>0</v>
      </c>
      <c r="L171" s="1">
        <f>--ISNUMBER(SEARCH("macOS",Table2[[#This Row],[platforms]]))</f>
        <v>0</v>
      </c>
      <c r="M171" s="1">
        <f>--ISNUMBER(SEARCH("Cloud",Table2[[#This Row],[platforms]]))</f>
        <v>0</v>
      </c>
      <c r="N171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72" spans="1:14" ht="187" x14ac:dyDescent="0.2">
      <c r="A172" t="str">
        <f t="shared" si="2"/>
        <v>171</v>
      </c>
      <c r="B172" s="1" t="s">
        <v>186</v>
      </c>
      <c r="C172" s="1" t="s">
        <v>10</v>
      </c>
      <c r="E172" t="s">
        <v>23</v>
      </c>
      <c r="F172" s="1" t="s">
        <v>10</v>
      </c>
      <c r="G172" s="1" t="s">
        <v>234</v>
      </c>
      <c r="H172" s="1">
        <f>--ISNUMBER(SEARCH("Windows",Table2[[#This Row],[platforms]]))</f>
        <v>0</v>
      </c>
      <c r="I172" s="1">
        <f>--ISNUMBER(SEARCH("Android",Table2[[#This Row],[platforms]]))</f>
        <v>1</v>
      </c>
      <c r="J172" s="1">
        <f>--ISNUMBER(SEARCH("Linux",Table2[[#This Row],[platforms]]))</f>
        <v>0</v>
      </c>
      <c r="K172" s="1">
        <f>--ISNUMBER(SEARCH("iOS",Table2[[#This Row],[platforms]]))</f>
        <v>0</v>
      </c>
      <c r="L172" s="1">
        <f>--ISNUMBER(SEARCH("macOS",Table2[[#This Row],[platforms]]))</f>
        <v>0</v>
      </c>
      <c r="M172" s="1">
        <f>--ISNUMBER(SEARCH("Cloud",Table2[[#This Row],[platforms]]))</f>
        <v>0</v>
      </c>
      <c r="N172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73" spans="1:14" ht="170" x14ac:dyDescent="0.2">
      <c r="A173" t="str">
        <f t="shared" si="2"/>
        <v>172</v>
      </c>
      <c r="B173" s="1" t="s">
        <v>187</v>
      </c>
      <c r="C173" s="1" t="s">
        <v>5</v>
      </c>
      <c r="E173" s="2" t="s">
        <v>6</v>
      </c>
      <c r="F173" s="1" t="s">
        <v>216</v>
      </c>
      <c r="G173" s="1" t="s">
        <v>232</v>
      </c>
      <c r="H173" s="1">
        <f>--ISNUMBER(SEARCH("Windows",Table2[[#This Row],[platforms]]))</f>
        <v>1</v>
      </c>
      <c r="I173" s="1">
        <f>--ISNUMBER(SEARCH("Android",Table2[[#This Row],[platforms]]))</f>
        <v>0</v>
      </c>
      <c r="J173" s="1">
        <f>--ISNUMBER(SEARCH("Linux",Table2[[#This Row],[platforms]]))</f>
        <v>0</v>
      </c>
      <c r="K173" s="1">
        <f>--ISNUMBER(SEARCH("iOS",Table2[[#This Row],[platforms]]))</f>
        <v>0</v>
      </c>
      <c r="L173" s="1">
        <f>--ISNUMBER(SEARCH("macOS",Table2[[#This Row],[platforms]]))</f>
        <v>0</v>
      </c>
      <c r="M173" s="1">
        <f>--ISNUMBER(SEARCH("Cloud",Table2[[#This Row],[platforms]]))</f>
        <v>0</v>
      </c>
      <c r="N173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74" spans="1:14" ht="187" x14ac:dyDescent="0.2">
      <c r="A174" t="str">
        <f t="shared" si="2"/>
        <v>173</v>
      </c>
      <c r="B174" s="1" t="s">
        <v>188</v>
      </c>
      <c r="C174" s="1" t="s">
        <v>10</v>
      </c>
      <c r="D174" s="1"/>
      <c r="E174" s="1" t="s">
        <v>23</v>
      </c>
      <c r="F174" s="1" t="s">
        <v>218</v>
      </c>
      <c r="G174" s="1" t="s">
        <v>241</v>
      </c>
      <c r="H174" s="1">
        <f>--ISNUMBER(SEARCH("Windows",Table2[[#This Row],[platforms]]))</f>
        <v>1</v>
      </c>
      <c r="I174" s="1">
        <f>--ISNUMBER(SEARCH("Android",Table2[[#This Row],[platforms]]))</f>
        <v>1</v>
      </c>
      <c r="J174" s="1">
        <f>--ISNUMBER(SEARCH("Linux",Table2[[#This Row],[platforms]]))</f>
        <v>1</v>
      </c>
      <c r="K174" s="1">
        <f>--ISNUMBER(SEARCH("iOS",Table2[[#This Row],[platforms]]))</f>
        <v>1</v>
      </c>
      <c r="L174" s="1">
        <f>--ISNUMBER(SEARCH("macOS",Table2[[#This Row],[platforms]]))</f>
        <v>1</v>
      </c>
      <c r="M174" s="1">
        <f>--ISNUMBER(SEARCH("Cloud",Table2[[#This Row],[platforms]]))</f>
        <v>0</v>
      </c>
      <c r="N174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75" spans="1:14" ht="255" x14ac:dyDescent="0.2">
      <c r="A175" t="str">
        <f t="shared" si="2"/>
        <v>174</v>
      </c>
      <c r="B175" s="1" t="s">
        <v>189</v>
      </c>
      <c r="C175" s="1" t="s">
        <v>214</v>
      </c>
      <c r="E175" t="s">
        <v>23</v>
      </c>
      <c r="F175" s="1" t="s">
        <v>217</v>
      </c>
      <c r="G175" s="1" t="s">
        <v>221</v>
      </c>
      <c r="H175" s="1">
        <f>--ISNUMBER(SEARCH("Windows",Table2[[#This Row],[platforms]]))</f>
        <v>0</v>
      </c>
      <c r="I175" s="1">
        <f>--ISNUMBER(SEARCH("Android",Table2[[#This Row],[platforms]]))</f>
        <v>0</v>
      </c>
      <c r="J175" s="1">
        <f>--ISNUMBER(SEARCH("Linux",Table2[[#This Row],[platforms]]))</f>
        <v>0</v>
      </c>
      <c r="K175" s="1">
        <f>--ISNUMBER(SEARCH("iOS",Table2[[#This Row],[platforms]]))</f>
        <v>0</v>
      </c>
      <c r="L175" s="1">
        <f>--ISNUMBER(SEARCH("macOS",Table2[[#This Row],[platforms]]))</f>
        <v>0</v>
      </c>
      <c r="M175" s="1">
        <f>--ISNUMBER(SEARCH("Cloud",Table2[[#This Row],[platforms]]))</f>
        <v>0</v>
      </c>
      <c r="N175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76" spans="1:14" ht="187" x14ac:dyDescent="0.2">
      <c r="A176" t="str">
        <f t="shared" si="2"/>
        <v>175</v>
      </c>
      <c r="B176" s="1" t="s">
        <v>190</v>
      </c>
      <c r="C176" s="1" t="s">
        <v>5</v>
      </c>
      <c r="E176" t="s">
        <v>23</v>
      </c>
      <c r="F176" s="1" t="s">
        <v>216</v>
      </c>
      <c r="G176" s="1" t="s">
        <v>232</v>
      </c>
      <c r="H176" s="1">
        <f>--ISNUMBER(SEARCH("Windows",Table2[[#This Row],[platforms]]))</f>
        <v>1</v>
      </c>
      <c r="I176" s="1">
        <f>--ISNUMBER(SEARCH("Android",Table2[[#This Row],[platforms]]))</f>
        <v>0</v>
      </c>
      <c r="J176" s="1">
        <f>--ISNUMBER(SEARCH("Linux",Table2[[#This Row],[platforms]]))</f>
        <v>0</v>
      </c>
      <c r="K176" s="1">
        <f>--ISNUMBER(SEARCH("iOS",Table2[[#This Row],[platforms]]))</f>
        <v>0</v>
      </c>
      <c r="L176" s="1">
        <f>--ISNUMBER(SEARCH("macOS",Table2[[#This Row],[platforms]]))</f>
        <v>0</v>
      </c>
      <c r="M176" s="1">
        <f>--ISNUMBER(SEARCH("Cloud",Table2[[#This Row],[platforms]]))</f>
        <v>0</v>
      </c>
      <c r="N176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77" spans="1:14" ht="238" x14ac:dyDescent="0.2">
      <c r="A177" t="str">
        <f t="shared" si="2"/>
        <v>176</v>
      </c>
      <c r="B177" s="1" t="s">
        <v>191</v>
      </c>
      <c r="C177" s="1" t="s">
        <v>214</v>
      </c>
      <c r="E177" t="s">
        <v>23</v>
      </c>
      <c r="F177" s="1" t="s">
        <v>217</v>
      </c>
      <c r="G177" s="1" t="s">
        <v>221</v>
      </c>
      <c r="H177" s="1">
        <f>--ISNUMBER(SEARCH("Windows",Table2[[#This Row],[platforms]]))</f>
        <v>0</v>
      </c>
      <c r="I177" s="1">
        <f>--ISNUMBER(SEARCH("Android",Table2[[#This Row],[platforms]]))</f>
        <v>0</v>
      </c>
      <c r="J177" s="1">
        <f>--ISNUMBER(SEARCH("Linux",Table2[[#This Row],[platforms]]))</f>
        <v>0</v>
      </c>
      <c r="K177" s="1">
        <f>--ISNUMBER(SEARCH("iOS",Table2[[#This Row],[platforms]]))</f>
        <v>0</v>
      </c>
      <c r="L177" s="1">
        <f>--ISNUMBER(SEARCH("macOS",Table2[[#This Row],[platforms]]))</f>
        <v>0</v>
      </c>
      <c r="M177" s="1">
        <f>--ISNUMBER(SEARCH("Cloud",Table2[[#This Row],[platforms]]))</f>
        <v>0</v>
      </c>
      <c r="N177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78" spans="1:14" ht="187" x14ac:dyDescent="0.2">
      <c r="A178" t="str">
        <f t="shared" si="2"/>
        <v>177</v>
      </c>
      <c r="B178" s="1" t="s">
        <v>192</v>
      </c>
      <c r="C178" s="1" t="s">
        <v>193</v>
      </c>
      <c r="E178" t="s">
        <v>213</v>
      </c>
      <c r="F178" s="1" t="s">
        <v>217</v>
      </c>
      <c r="G178" s="1" t="s">
        <v>221</v>
      </c>
      <c r="H178" s="1">
        <f>--ISNUMBER(SEARCH("Windows",Table2[[#This Row],[platforms]]))</f>
        <v>0</v>
      </c>
      <c r="I178" s="1">
        <f>--ISNUMBER(SEARCH("Android",Table2[[#This Row],[platforms]]))</f>
        <v>0</v>
      </c>
      <c r="J178" s="1">
        <f>--ISNUMBER(SEARCH("Linux",Table2[[#This Row],[platforms]]))</f>
        <v>0</v>
      </c>
      <c r="K178" s="1">
        <f>--ISNUMBER(SEARCH("iOS",Table2[[#This Row],[platforms]]))</f>
        <v>0</v>
      </c>
      <c r="L178" s="1">
        <f>--ISNUMBER(SEARCH("macOS",Table2[[#This Row],[platforms]]))</f>
        <v>0</v>
      </c>
      <c r="M178" s="1">
        <f>--ISNUMBER(SEARCH("Cloud",Table2[[#This Row],[platforms]]))</f>
        <v>0</v>
      </c>
      <c r="N17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79" spans="1:14" ht="204" x14ac:dyDescent="0.2">
      <c r="A179" t="str">
        <f t="shared" si="2"/>
        <v>178</v>
      </c>
      <c r="B179" s="1" t="s">
        <v>194</v>
      </c>
      <c r="C179" s="1" t="s">
        <v>5</v>
      </c>
      <c r="D179" s="1"/>
      <c r="E179" s="1" t="s">
        <v>23</v>
      </c>
      <c r="F179" s="1" t="s">
        <v>216</v>
      </c>
      <c r="G179" t="s">
        <v>235</v>
      </c>
      <c r="H179" s="1">
        <f>--ISNUMBER(SEARCH("Windows",Table2[[#This Row],[platforms]]))</f>
        <v>1</v>
      </c>
      <c r="I179" s="1">
        <f>--ISNUMBER(SEARCH("Android",Table2[[#This Row],[platforms]]))</f>
        <v>0</v>
      </c>
      <c r="J179" s="1">
        <f>--ISNUMBER(SEARCH("Linux",Table2[[#This Row],[platforms]]))</f>
        <v>1</v>
      </c>
      <c r="K179" s="1">
        <f>--ISNUMBER(SEARCH("iOS",Table2[[#This Row],[platforms]]))</f>
        <v>0</v>
      </c>
      <c r="L179" s="1">
        <f>--ISNUMBER(SEARCH("macOS",Table2[[#This Row],[platforms]]))</f>
        <v>0</v>
      </c>
      <c r="M179" s="1">
        <f>--ISNUMBER(SEARCH("Cloud",Table2[[#This Row],[platforms]]))</f>
        <v>0</v>
      </c>
      <c r="N179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80" spans="1:14" ht="255" x14ac:dyDescent="0.2">
      <c r="A180" t="str">
        <f t="shared" si="2"/>
        <v>179</v>
      </c>
      <c r="B180" s="1" t="s">
        <v>195</v>
      </c>
      <c r="C180" s="1" t="s">
        <v>214</v>
      </c>
      <c r="D180" s="1"/>
      <c r="E180" s="1" t="s">
        <v>23</v>
      </c>
      <c r="F180" s="1" t="s">
        <v>217</v>
      </c>
      <c r="G180" s="1" t="s">
        <v>221</v>
      </c>
      <c r="H180" s="1">
        <f>--ISNUMBER(SEARCH("Windows",Table2[[#This Row],[platforms]]))</f>
        <v>0</v>
      </c>
      <c r="I180" s="1">
        <f>--ISNUMBER(SEARCH("Android",Table2[[#This Row],[platforms]]))</f>
        <v>0</v>
      </c>
      <c r="J180" s="1">
        <f>--ISNUMBER(SEARCH("Linux",Table2[[#This Row],[platforms]]))</f>
        <v>0</v>
      </c>
      <c r="K180" s="1">
        <f>--ISNUMBER(SEARCH("iOS",Table2[[#This Row],[platforms]]))</f>
        <v>0</v>
      </c>
      <c r="L180" s="1">
        <f>--ISNUMBER(SEARCH("macOS",Table2[[#This Row],[platforms]]))</f>
        <v>0</v>
      </c>
      <c r="M180" s="1">
        <f>--ISNUMBER(SEARCH("Cloud",Table2[[#This Row],[platforms]]))</f>
        <v>0</v>
      </c>
      <c r="N180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81" spans="1:14" ht="170" x14ac:dyDescent="0.2">
      <c r="A181" t="str">
        <f t="shared" si="2"/>
        <v>180</v>
      </c>
      <c r="B181" s="1" t="s">
        <v>196</v>
      </c>
      <c r="C181" s="1" t="s">
        <v>101</v>
      </c>
      <c r="E181" s="2" t="s">
        <v>6</v>
      </c>
      <c r="F181" s="1" t="s">
        <v>216</v>
      </c>
      <c r="G181" s="1" t="s">
        <v>232</v>
      </c>
      <c r="H181" s="1">
        <f>--ISNUMBER(SEARCH("Windows",Table2[[#This Row],[platforms]]))</f>
        <v>1</v>
      </c>
      <c r="I181" s="1">
        <f>--ISNUMBER(SEARCH("Android",Table2[[#This Row],[platforms]]))</f>
        <v>0</v>
      </c>
      <c r="J181" s="1">
        <f>--ISNUMBER(SEARCH("Linux",Table2[[#This Row],[platforms]]))</f>
        <v>0</v>
      </c>
      <c r="K181" s="1">
        <f>--ISNUMBER(SEARCH("iOS",Table2[[#This Row],[platforms]]))</f>
        <v>0</v>
      </c>
      <c r="L181" s="1">
        <f>--ISNUMBER(SEARCH("macOS",Table2[[#This Row],[platforms]]))</f>
        <v>0</v>
      </c>
      <c r="M181" s="1">
        <f>--ISNUMBER(SEARCH("Cloud",Table2[[#This Row],[platforms]]))</f>
        <v>0</v>
      </c>
      <c r="N181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82" spans="1:14" ht="204" x14ac:dyDescent="0.2">
      <c r="A182" t="str">
        <f t="shared" si="2"/>
        <v>181</v>
      </c>
      <c r="B182" s="1" t="s">
        <v>197</v>
      </c>
      <c r="C182" s="1" t="s">
        <v>214</v>
      </c>
      <c r="E182" t="s">
        <v>23</v>
      </c>
      <c r="F182" s="1" t="s">
        <v>217</v>
      </c>
      <c r="G182" s="1" t="s">
        <v>221</v>
      </c>
      <c r="H182" s="1">
        <f>--ISNUMBER(SEARCH("Windows",Table2[[#This Row],[platforms]]))</f>
        <v>0</v>
      </c>
      <c r="I182" s="1">
        <f>--ISNUMBER(SEARCH("Android",Table2[[#This Row],[platforms]]))</f>
        <v>0</v>
      </c>
      <c r="J182" s="1">
        <f>--ISNUMBER(SEARCH("Linux",Table2[[#This Row],[platforms]]))</f>
        <v>0</v>
      </c>
      <c r="K182" s="1">
        <f>--ISNUMBER(SEARCH("iOS",Table2[[#This Row],[platforms]]))</f>
        <v>0</v>
      </c>
      <c r="L182" s="1">
        <f>--ISNUMBER(SEARCH("macOS",Table2[[#This Row],[platforms]]))</f>
        <v>0</v>
      </c>
      <c r="M182" s="1">
        <f>--ISNUMBER(SEARCH("Cloud",Table2[[#This Row],[platforms]]))</f>
        <v>0</v>
      </c>
      <c r="N18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83" spans="1:14" ht="221" x14ac:dyDescent="0.2">
      <c r="A183" t="str">
        <f t="shared" si="2"/>
        <v>182</v>
      </c>
      <c r="B183" s="1" t="s">
        <v>198</v>
      </c>
      <c r="C183" s="1" t="s">
        <v>5</v>
      </c>
      <c r="D183" s="1"/>
      <c r="E183" s="1" t="s">
        <v>23</v>
      </c>
      <c r="F183" s="1" t="s">
        <v>216</v>
      </c>
      <c r="G183" s="1" t="s">
        <v>238</v>
      </c>
      <c r="H183" s="1">
        <f>--ISNUMBER(SEARCH("Windows",Table2[[#This Row],[platforms]]))</f>
        <v>0</v>
      </c>
      <c r="I183" s="1">
        <f>--ISNUMBER(SEARCH("Android",Table2[[#This Row],[platforms]]))</f>
        <v>0</v>
      </c>
      <c r="J183" s="1">
        <f>--ISNUMBER(SEARCH("Linux",Table2[[#This Row],[platforms]]))</f>
        <v>1</v>
      </c>
      <c r="K183" s="1">
        <f>--ISNUMBER(SEARCH("iOS",Table2[[#This Row],[platforms]]))</f>
        <v>0</v>
      </c>
      <c r="L183" s="1">
        <f>--ISNUMBER(SEARCH("macOS",Table2[[#This Row],[platforms]]))</f>
        <v>0</v>
      </c>
      <c r="M183" s="1">
        <f>--ISNUMBER(SEARCH("Cloud",Table2[[#This Row],[platforms]]))</f>
        <v>0</v>
      </c>
      <c r="N183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84" spans="1:14" ht="187" x14ac:dyDescent="0.2">
      <c r="A184" t="str">
        <f t="shared" si="2"/>
        <v>183</v>
      </c>
      <c r="B184" s="1" t="s">
        <v>199</v>
      </c>
      <c r="C184" s="1" t="s">
        <v>5</v>
      </c>
      <c r="D184" s="1"/>
      <c r="E184" s="1" t="s">
        <v>23</v>
      </c>
      <c r="F184" s="1" t="s">
        <v>216</v>
      </c>
      <c r="G184" s="1" t="s">
        <v>232</v>
      </c>
      <c r="H184" s="1">
        <f>--ISNUMBER(SEARCH("Windows",Table2[[#This Row],[platforms]]))</f>
        <v>1</v>
      </c>
      <c r="I184" s="1">
        <f>--ISNUMBER(SEARCH("Android",Table2[[#This Row],[platforms]]))</f>
        <v>0</v>
      </c>
      <c r="J184" s="1">
        <f>--ISNUMBER(SEARCH("Linux",Table2[[#This Row],[platforms]]))</f>
        <v>0</v>
      </c>
      <c r="K184" s="1">
        <f>--ISNUMBER(SEARCH("iOS",Table2[[#This Row],[platforms]]))</f>
        <v>0</v>
      </c>
      <c r="L184" s="1">
        <f>--ISNUMBER(SEARCH("macOS",Table2[[#This Row],[platforms]]))</f>
        <v>0</v>
      </c>
      <c r="M184" s="1">
        <f>--ISNUMBER(SEARCH("Cloud",Table2[[#This Row],[platforms]]))</f>
        <v>0</v>
      </c>
      <c r="N184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85" spans="1:14" ht="255" x14ac:dyDescent="0.2">
      <c r="A185" t="str">
        <f t="shared" si="2"/>
        <v>184</v>
      </c>
      <c r="B185" s="1" t="s">
        <v>200</v>
      </c>
      <c r="C185" s="1" t="s">
        <v>214</v>
      </c>
      <c r="D185" s="1"/>
      <c r="E185" s="1" t="s">
        <v>23</v>
      </c>
      <c r="F185" s="1" t="s">
        <v>217</v>
      </c>
      <c r="G185" s="1" t="s">
        <v>221</v>
      </c>
      <c r="H185" s="1">
        <f>--ISNUMBER(SEARCH("Windows",Table2[[#This Row],[platforms]]))</f>
        <v>0</v>
      </c>
      <c r="I185" s="1">
        <f>--ISNUMBER(SEARCH("Android",Table2[[#This Row],[platforms]]))</f>
        <v>0</v>
      </c>
      <c r="J185" s="1">
        <f>--ISNUMBER(SEARCH("Linux",Table2[[#This Row],[platforms]]))</f>
        <v>0</v>
      </c>
      <c r="K185" s="1">
        <f>--ISNUMBER(SEARCH("iOS",Table2[[#This Row],[platforms]]))</f>
        <v>0</v>
      </c>
      <c r="L185" s="1">
        <f>--ISNUMBER(SEARCH("macOS",Table2[[#This Row],[platforms]]))</f>
        <v>0</v>
      </c>
      <c r="M185" s="1">
        <f>--ISNUMBER(SEARCH("Cloud",Table2[[#This Row],[platforms]]))</f>
        <v>0</v>
      </c>
      <c r="N185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86" spans="1:14" ht="187" x14ac:dyDescent="0.2">
      <c r="A186" t="str">
        <f t="shared" si="2"/>
        <v>185</v>
      </c>
      <c r="B186" s="1" t="s">
        <v>201</v>
      </c>
      <c r="C186" s="1" t="s">
        <v>10</v>
      </c>
      <c r="E186" t="s">
        <v>23</v>
      </c>
      <c r="F186" s="1" t="s">
        <v>10</v>
      </c>
      <c r="G186" s="1" t="s">
        <v>234</v>
      </c>
      <c r="H186" s="1">
        <f>--ISNUMBER(SEARCH("Windows",Table2[[#This Row],[platforms]]))</f>
        <v>0</v>
      </c>
      <c r="I186" s="1">
        <f>--ISNUMBER(SEARCH("Android",Table2[[#This Row],[platforms]]))</f>
        <v>1</v>
      </c>
      <c r="J186" s="1">
        <f>--ISNUMBER(SEARCH("Linux",Table2[[#This Row],[platforms]]))</f>
        <v>0</v>
      </c>
      <c r="K186" s="1">
        <f>--ISNUMBER(SEARCH("iOS",Table2[[#This Row],[platforms]]))</f>
        <v>0</v>
      </c>
      <c r="L186" s="1">
        <f>--ISNUMBER(SEARCH("macOS",Table2[[#This Row],[platforms]]))</f>
        <v>0</v>
      </c>
      <c r="M186" s="1">
        <f>--ISNUMBER(SEARCH("Cloud",Table2[[#This Row],[platforms]]))</f>
        <v>0</v>
      </c>
      <c r="N186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87" spans="1:14" ht="153" x14ac:dyDescent="0.2">
      <c r="A187" t="str">
        <f t="shared" si="2"/>
        <v>186</v>
      </c>
      <c r="B187" s="1" t="s">
        <v>202</v>
      </c>
      <c r="C187" s="1" t="s">
        <v>10</v>
      </c>
      <c r="D187" s="1"/>
      <c r="E187" s="1" t="s">
        <v>23</v>
      </c>
      <c r="F187" s="1" t="s">
        <v>10</v>
      </c>
      <c r="H187" s="1">
        <f>--ISNUMBER(SEARCH("Windows",Table2[[#This Row],[platforms]]))</f>
        <v>0</v>
      </c>
      <c r="I187" s="1">
        <f>--ISNUMBER(SEARCH("Android",Table2[[#This Row],[platforms]]))</f>
        <v>0</v>
      </c>
      <c r="J187" s="1">
        <f>--ISNUMBER(SEARCH("Linux",Table2[[#This Row],[platforms]]))</f>
        <v>0</v>
      </c>
      <c r="K187" s="1">
        <f>--ISNUMBER(SEARCH("iOS",Table2[[#This Row],[platforms]]))</f>
        <v>0</v>
      </c>
      <c r="L187" s="1">
        <f>--ISNUMBER(SEARCH("macOS",Table2[[#This Row],[platforms]]))</f>
        <v>0</v>
      </c>
      <c r="M187" s="1">
        <f>--ISNUMBER(SEARCH("Cloud",Table2[[#This Row],[platforms]]))</f>
        <v>0</v>
      </c>
      <c r="N187" s="1" t="str">
        <f>IF(Table2[[#This Row],[platforms]]="","",--OR(Table2[[#This Row],[platforms]]="N/A",ISNUMBER(SEARCH("not specified",LOWER(Table2[[#This Row],[platforms]]))),ISNUMBER(SEARCH("unspecified",LOWER(Table2[[#This Row],[platforms]])))))</f>
        <v/>
      </c>
    </row>
    <row r="188" spans="1:14" ht="187" x14ac:dyDescent="0.2">
      <c r="A188" t="str">
        <f t="shared" si="2"/>
        <v>187</v>
      </c>
      <c r="B188" s="1" t="s">
        <v>203</v>
      </c>
      <c r="C188" s="1" t="s">
        <v>26</v>
      </c>
      <c r="D188" s="1"/>
      <c r="E188" s="1" t="s">
        <v>23</v>
      </c>
      <c r="F188" s="1" t="s">
        <v>217</v>
      </c>
      <c r="G188" s="1" t="s">
        <v>221</v>
      </c>
      <c r="H188" s="1">
        <f>--ISNUMBER(SEARCH("Windows",Table2[[#This Row],[platforms]]))</f>
        <v>0</v>
      </c>
      <c r="I188" s="1">
        <f>--ISNUMBER(SEARCH("Android",Table2[[#This Row],[platforms]]))</f>
        <v>0</v>
      </c>
      <c r="J188" s="1">
        <f>--ISNUMBER(SEARCH("Linux",Table2[[#This Row],[platforms]]))</f>
        <v>0</v>
      </c>
      <c r="K188" s="1">
        <f>--ISNUMBER(SEARCH("iOS",Table2[[#This Row],[platforms]]))</f>
        <v>0</v>
      </c>
      <c r="L188" s="1">
        <f>--ISNUMBER(SEARCH("macOS",Table2[[#This Row],[platforms]]))</f>
        <v>0</v>
      </c>
      <c r="M188" s="1">
        <f>--ISNUMBER(SEARCH("Cloud",Table2[[#This Row],[platforms]]))</f>
        <v>0</v>
      </c>
      <c r="N18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89" spans="1:14" ht="221" x14ac:dyDescent="0.2">
      <c r="A189" t="str">
        <f t="shared" si="2"/>
        <v>188</v>
      </c>
      <c r="B189" s="1" t="s">
        <v>204</v>
      </c>
      <c r="C189" s="1" t="s">
        <v>10</v>
      </c>
      <c r="D189" s="1"/>
      <c r="E189" s="1" t="s">
        <v>23</v>
      </c>
      <c r="F189" s="1" t="s">
        <v>10</v>
      </c>
      <c r="G189" s="1" t="s">
        <v>242</v>
      </c>
      <c r="H189" s="1">
        <f>--ISNUMBER(SEARCH("Windows",Table2[[#This Row],[platforms]]))</f>
        <v>0</v>
      </c>
      <c r="I189" s="1">
        <f>--ISNUMBER(SEARCH("Android",Table2[[#This Row],[platforms]]))</f>
        <v>0</v>
      </c>
      <c r="J189" s="1">
        <f>--ISNUMBER(SEARCH("Linux",Table2[[#This Row],[platforms]]))</f>
        <v>0</v>
      </c>
      <c r="K189" s="1">
        <f>--ISNUMBER(SEARCH("iOS",Table2[[#This Row],[platforms]]))</f>
        <v>1</v>
      </c>
      <c r="L189" s="1">
        <f>--ISNUMBER(SEARCH("macOS",Table2[[#This Row],[platforms]]))</f>
        <v>0</v>
      </c>
      <c r="M189" s="1">
        <f>--ISNUMBER(SEARCH("Cloud",Table2[[#This Row],[platforms]]))</f>
        <v>0</v>
      </c>
      <c r="N189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90" spans="1:14" ht="289" x14ac:dyDescent="0.2">
      <c r="A190" t="str">
        <f t="shared" si="2"/>
        <v>189</v>
      </c>
      <c r="B190" s="1" t="s">
        <v>205</v>
      </c>
      <c r="C190" s="1" t="s">
        <v>10</v>
      </c>
      <c r="D190" s="1"/>
      <c r="E190" s="1" t="s">
        <v>23</v>
      </c>
      <c r="F190" s="1" t="s">
        <v>218</v>
      </c>
      <c r="G190" s="1" t="s">
        <v>234</v>
      </c>
      <c r="H190" s="1">
        <f>--ISNUMBER(SEARCH("Windows",Table2[[#This Row],[platforms]]))</f>
        <v>0</v>
      </c>
      <c r="I190" s="1">
        <f>--ISNUMBER(SEARCH("Android",Table2[[#This Row],[platforms]]))</f>
        <v>1</v>
      </c>
      <c r="J190" s="1">
        <f>--ISNUMBER(SEARCH("Linux",Table2[[#This Row],[platforms]]))</f>
        <v>0</v>
      </c>
      <c r="K190" s="1">
        <f>--ISNUMBER(SEARCH("iOS",Table2[[#This Row],[platforms]]))</f>
        <v>0</v>
      </c>
      <c r="L190" s="1">
        <f>--ISNUMBER(SEARCH("macOS",Table2[[#This Row],[platforms]]))</f>
        <v>0</v>
      </c>
      <c r="M190" s="1">
        <f>--ISNUMBER(SEARCH("Cloud",Table2[[#This Row],[platforms]]))</f>
        <v>0</v>
      </c>
      <c r="N190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91" spans="1:14" ht="17" x14ac:dyDescent="0.2">
      <c r="A191" t="str">
        <f t="shared" si="2"/>
        <v>190</v>
      </c>
      <c r="B191" s="2" t="s">
        <v>219</v>
      </c>
      <c r="C191" s="1" t="s">
        <v>10</v>
      </c>
      <c r="D191" s="1"/>
      <c r="E191" s="2" t="s">
        <v>6</v>
      </c>
      <c r="F191" s="1" t="s">
        <v>10</v>
      </c>
      <c r="G191" s="1" t="s">
        <v>240</v>
      </c>
      <c r="H191" s="1">
        <f>--ISNUMBER(SEARCH("Windows",Table2[[#This Row],[platforms]]))</f>
        <v>1</v>
      </c>
      <c r="I191" s="1">
        <f>--ISNUMBER(SEARCH("Android",Table2[[#This Row],[platforms]]))</f>
        <v>1</v>
      </c>
      <c r="J191" s="1">
        <f>--ISNUMBER(SEARCH("Linux",Table2[[#This Row],[platforms]]))</f>
        <v>0</v>
      </c>
      <c r="K191" s="1">
        <f>--ISNUMBER(SEARCH("iOS",Table2[[#This Row],[platforms]]))</f>
        <v>0</v>
      </c>
      <c r="L191" s="1">
        <f>--ISNUMBER(SEARCH("macOS",Table2[[#This Row],[platforms]]))</f>
        <v>0</v>
      </c>
      <c r="M191" s="1">
        <f>--ISNUMBER(SEARCH("Cloud",Table2[[#This Row],[platforms]]))</f>
        <v>0</v>
      </c>
      <c r="N191" s="1">
        <f>IF(Table2[[#This Row],[platforms]]="","",--OR(Table2[[#This Row],[platforms]]="N/A",ISNUMBER(SEARCH("not specified",LOWER(Table2[[#This Row],[platforms]]))),ISNUMBER(SEARCH("unspecified",LOWER(Table2[[#This Row],[platforms]])))))</f>
        <v>0</v>
      </c>
    </row>
    <row r="192" spans="1:14" ht="255" x14ac:dyDescent="0.2">
      <c r="A192" t="str">
        <f t="shared" si="2"/>
        <v>191</v>
      </c>
      <c r="B192" s="1" t="s">
        <v>207</v>
      </c>
      <c r="C192" s="1" t="s">
        <v>214</v>
      </c>
      <c r="D192" t="s">
        <v>29</v>
      </c>
      <c r="E192" s="1" t="s">
        <v>16</v>
      </c>
      <c r="F192" s="1" t="s">
        <v>217</v>
      </c>
      <c r="G192" s="1" t="s">
        <v>221</v>
      </c>
      <c r="H192" s="1">
        <f>--ISNUMBER(SEARCH("Windows",Table2[[#This Row],[platforms]]))</f>
        <v>0</v>
      </c>
      <c r="I192" s="1">
        <f>--ISNUMBER(SEARCH("Android",Table2[[#This Row],[platforms]]))</f>
        <v>0</v>
      </c>
      <c r="J192" s="1">
        <f>--ISNUMBER(SEARCH("Linux",Table2[[#This Row],[platforms]]))</f>
        <v>0</v>
      </c>
      <c r="K192" s="1">
        <f>--ISNUMBER(SEARCH("iOS",Table2[[#This Row],[platforms]]))</f>
        <v>0</v>
      </c>
      <c r="L192" s="1">
        <f>--ISNUMBER(SEARCH("macOS",Table2[[#This Row],[platforms]]))</f>
        <v>0</v>
      </c>
      <c r="M192" s="1">
        <f>--ISNUMBER(SEARCH("Cloud",Table2[[#This Row],[platforms]]))</f>
        <v>0</v>
      </c>
      <c r="N192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93" spans="1:14" ht="204" x14ac:dyDescent="0.2">
      <c r="A193" t="str">
        <f t="shared" si="2"/>
        <v>192</v>
      </c>
      <c r="B193" s="1" t="s">
        <v>206</v>
      </c>
      <c r="C193" s="1" t="s">
        <v>214</v>
      </c>
      <c r="D193" t="s">
        <v>29</v>
      </c>
      <c r="E193" s="1" t="s">
        <v>16</v>
      </c>
      <c r="F193" s="1" t="s">
        <v>217</v>
      </c>
      <c r="G193" s="1" t="s">
        <v>221</v>
      </c>
      <c r="H193" s="1">
        <f>--ISNUMBER(SEARCH("Windows",Table2[[#This Row],[platforms]]))</f>
        <v>0</v>
      </c>
      <c r="I193" s="1">
        <f>--ISNUMBER(SEARCH("Android",Table2[[#This Row],[platforms]]))</f>
        <v>0</v>
      </c>
      <c r="J193" s="1">
        <f>--ISNUMBER(SEARCH("Linux",Table2[[#This Row],[platforms]]))</f>
        <v>0</v>
      </c>
      <c r="K193" s="1">
        <f>--ISNUMBER(SEARCH("iOS",Table2[[#This Row],[platforms]]))</f>
        <v>0</v>
      </c>
      <c r="L193" s="1">
        <f>--ISNUMBER(SEARCH("macOS",Table2[[#This Row],[platforms]]))</f>
        <v>0</v>
      </c>
      <c r="M193" s="1">
        <f>--ISNUMBER(SEARCH("Cloud",Table2[[#This Row],[platforms]]))</f>
        <v>0</v>
      </c>
      <c r="N193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94" spans="1:14" ht="119" x14ac:dyDescent="0.2">
      <c r="A194" t="str">
        <f t="shared" si="2"/>
        <v>193</v>
      </c>
      <c r="B194" s="5" t="s">
        <v>208</v>
      </c>
      <c r="C194" s="1" t="s">
        <v>214</v>
      </c>
      <c r="E194" s="1" t="s">
        <v>16</v>
      </c>
      <c r="F194" s="1" t="s">
        <v>217</v>
      </c>
      <c r="G194" s="1" t="s">
        <v>221</v>
      </c>
      <c r="H194" s="1">
        <f>--ISNUMBER(SEARCH("Windows",Table2[[#This Row],[platforms]]))</f>
        <v>0</v>
      </c>
      <c r="I194" s="1">
        <f>--ISNUMBER(SEARCH("Android",Table2[[#This Row],[platforms]]))</f>
        <v>0</v>
      </c>
      <c r="J194" s="1">
        <f>--ISNUMBER(SEARCH("Linux",Table2[[#This Row],[platforms]]))</f>
        <v>0</v>
      </c>
      <c r="K194" s="1">
        <f>--ISNUMBER(SEARCH("iOS",Table2[[#This Row],[platforms]]))</f>
        <v>0</v>
      </c>
      <c r="L194" s="1">
        <f>--ISNUMBER(SEARCH("macOS",Table2[[#This Row],[platforms]]))</f>
        <v>0</v>
      </c>
      <c r="M194" s="1">
        <f>--ISNUMBER(SEARCH("Cloud",Table2[[#This Row],[platforms]]))</f>
        <v>0</v>
      </c>
      <c r="N194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95" spans="1:14" ht="221" x14ac:dyDescent="0.2">
      <c r="A195" t="str">
        <f t="shared" si="2"/>
        <v>194</v>
      </c>
      <c r="B195" s="1" t="s">
        <v>209</v>
      </c>
      <c r="C195" s="1" t="s">
        <v>214</v>
      </c>
      <c r="E195" s="1" t="s">
        <v>16</v>
      </c>
      <c r="F195" s="1" t="s">
        <v>217</v>
      </c>
      <c r="G195" s="1" t="s">
        <v>221</v>
      </c>
      <c r="H195" s="1">
        <f>--ISNUMBER(SEARCH("Windows",Table2[[#This Row],[platforms]]))</f>
        <v>0</v>
      </c>
      <c r="I195" s="1">
        <f>--ISNUMBER(SEARCH("Android",Table2[[#This Row],[platforms]]))</f>
        <v>0</v>
      </c>
      <c r="J195" s="1">
        <f>--ISNUMBER(SEARCH("Linux",Table2[[#This Row],[platforms]]))</f>
        <v>0</v>
      </c>
      <c r="K195" s="1">
        <f>--ISNUMBER(SEARCH("iOS",Table2[[#This Row],[platforms]]))</f>
        <v>0</v>
      </c>
      <c r="L195" s="1">
        <f>--ISNUMBER(SEARCH("macOS",Table2[[#This Row],[platforms]]))</f>
        <v>0</v>
      </c>
      <c r="M195" s="1">
        <f>--ISNUMBER(SEARCH("Cloud",Table2[[#This Row],[platforms]]))</f>
        <v>0</v>
      </c>
      <c r="N195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96" spans="1:14" ht="238" x14ac:dyDescent="0.2">
      <c r="A196" t="str">
        <f t="shared" ref="A196:A198" si="3">TEXT(ROW()-1,"000")</f>
        <v>195</v>
      </c>
      <c r="B196" s="5" t="s">
        <v>210</v>
      </c>
      <c r="C196" s="1" t="s">
        <v>214</v>
      </c>
      <c r="E196" s="1" t="s">
        <v>16</v>
      </c>
      <c r="F196" s="1" t="s">
        <v>217</v>
      </c>
      <c r="G196" s="1" t="s">
        <v>221</v>
      </c>
      <c r="H196" s="1">
        <f>--ISNUMBER(SEARCH("Windows",Table2[[#This Row],[platforms]]))</f>
        <v>0</v>
      </c>
      <c r="I196" s="1">
        <f>--ISNUMBER(SEARCH("Android",Table2[[#This Row],[platforms]]))</f>
        <v>0</v>
      </c>
      <c r="J196" s="1">
        <f>--ISNUMBER(SEARCH("Linux",Table2[[#This Row],[platforms]]))</f>
        <v>0</v>
      </c>
      <c r="K196" s="1">
        <f>--ISNUMBER(SEARCH("iOS",Table2[[#This Row],[platforms]]))</f>
        <v>0</v>
      </c>
      <c r="L196" s="1">
        <f>--ISNUMBER(SEARCH("macOS",Table2[[#This Row],[platforms]]))</f>
        <v>0</v>
      </c>
      <c r="M196" s="1">
        <f>--ISNUMBER(SEARCH("Cloud",Table2[[#This Row],[platforms]]))</f>
        <v>0</v>
      </c>
      <c r="N196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97" spans="1:14" ht="153" x14ac:dyDescent="0.2">
      <c r="A197" t="str">
        <f t="shared" si="3"/>
        <v>196</v>
      </c>
      <c r="B197" s="1" t="s">
        <v>211</v>
      </c>
      <c r="C197" s="1" t="s">
        <v>214</v>
      </c>
      <c r="E197" s="1" t="s">
        <v>16</v>
      </c>
      <c r="F197" s="1" t="s">
        <v>217</v>
      </c>
      <c r="G197" s="1" t="s">
        <v>221</v>
      </c>
      <c r="H197" s="1">
        <f>--ISNUMBER(SEARCH("Windows",Table2[[#This Row],[platforms]]))</f>
        <v>0</v>
      </c>
      <c r="I197" s="1">
        <f>--ISNUMBER(SEARCH("Android",Table2[[#This Row],[platforms]]))</f>
        <v>0</v>
      </c>
      <c r="J197" s="1">
        <f>--ISNUMBER(SEARCH("Linux",Table2[[#This Row],[platforms]]))</f>
        <v>0</v>
      </c>
      <c r="K197" s="1">
        <f>--ISNUMBER(SEARCH("iOS",Table2[[#This Row],[platforms]]))</f>
        <v>0</v>
      </c>
      <c r="L197" s="1">
        <f>--ISNUMBER(SEARCH("macOS",Table2[[#This Row],[platforms]]))</f>
        <v>0</v>
      </c>
      <c r="M197" s="1">
        <f>--ISNUMBER(SEARCH("Cloud",Table2[[#This Row],[platforms]]))</f>
        <v>0</v>
      </c>
      <c r="N197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98" spans="1:14" ht="170" x14ac:dyDescent="0.2">
      <c r="A198" t="str">
        <f t="shared" si="3"/>
        <v>197</v>
      </c>
      <c r="B198" s="5" t="s">
        <v>212</v>
      </c>
      <c r="C198" s="1" t="s">
        <v>214</v>
      </c>
      <c r="E198" s="1" t="s">
        <v>57</v>
      </c>
      <c r="F198" s="1" t="s">
        <v>217</v>
      </c>
      <c r="G198" s="1" t="s">
        <v>221</v>
      </c>
      <c r="H198" s="1">
        <f>--ISNUMBER(SEARCH("Windows",Table2[[#This Row],[platforms]]))</f>
        <v>0</v>
      </c>
      <c r="I198" s="1">
        <f>--ISNUMBER(SEARCH("Android",Table2[[#This Row],[platforms]]))</f>
        <v>0</v>
      </c>
      <c r="J198" s="1">
        <f>--ISNUMBER(SEARCH("Linux",Table2[[#This Row],[platforms]]))</f>
        <v>0</v>
      </c>
      <c r="K198" s="1">
        <f>--ISNUMBER(SEARCH("iOS",Table2[[#This Row],[platforms]]))</f>
        <v>0</v>
      </c>
      <c r="L198" s="1">
        <f>--ISNUMBER(SEARCH("macOS",Table2[[#This Row],[platforms]]))</f>
        <v>0</v>
      </c>
      <c r="M198" s="1">
        <f>--ISNUMBER(SEARCH("Cloud",Table2[[#This Row],[platforms]]))</f>
        <v>0</v>
      </c>
      <c r="N198" s="1">
        <f>IF(Table2[[#This Row],[platforms]]="","",--OR(Table2[[#This Row],[platforms]]="N/A",ISNUMBER(SEARCH("not specified",LOWER(Table2[[#This Row],[platforms]]))),ISNUMBER(SEARCH("unspecified",LOWER(Table2[[#This Row],[platforms]])))))</f>
        <v>1</v>
      </c>
    </row>
    <row r="199" spans="1:14" x14ac:dyDescent="0.2">
      <c r="A199" t="str">
        <f t="shared" ref="A199:A200" si="4">TEXT(ROW()-1,"000")</f>
        <v>198</v>
      </c>
      <c r="B199" s="5"/>
      <c r="C199" s="1"/>
      <c r="E199" s="1"/>
      <c r="F199" s="1"/>
      <c r="G199" s="1"/>
      <c r="H199" s="1">
        <f ca="1">SUM(H:H)</f>
        <v>0</v>
      </c>
      <c r="I199" s="1">
        <f>--ISNUMBER(SEARCH("Android",Table2[[#This Row],[platforms]]))</f>
        <v>0</v>
      </c>
      <c r="J199" s="1">
        <f>--ISNUMBER(SEARCH("Linux",Table2[[#This Row],[platforms]]))</f>
        <v>0</v>
      </c>
      <c r="K199" s="1">
        <f>--ISNUMBER(SEARCH("iOS",Table2[[#This Row],[platforms]]))</f>
        <v>0</v>
      </c>
      <c r="L199" s="1">
        <f>--ISNUMBER(SEARCH("macOS",Table2[[#This Row],[platforms]]))</f>
        <v>0</v>
      </c>
      <c r="M199" s="1">
        <f>--ISNUMBER(SEARCH("Cloud",Table2[[#This Row],[platforms]]))</f>
        <v>0</v>
      </c>
      <c r="N199" s="1" t="str">
        <f>IF(Table2[[#This Row],[platforms]]="","",--OR(Table2[[#This Row],[platforms]]="N/A",ISNUMBER(SEARCH("not specified",LOWER(Table2[[#This Row],[platforms]]))),ISNUMBER(SEARCH("unspecified",LOWER(Table2[[#This Row],[platforms]])))))</f>
        <v/>
      </c>
    </row>
    <row r="200" spans="1:14" x14ac:dyDescent="0.2">
      <c r="A200" t="str">
        <f t="shared" si="4"/>
        <v>199</v>
      </c>
      <c r="B200" s="5"/>
      <c r="C200" s="1"/>
      <c r="E200" s="1"/>
      <c r="F200" s="1"/>
      <c r="G200" s="1"/>
      <c r="H200" s="1">
        <f>--ISNUMBER(SEARCH("Windows",Table2[[#This Row],[platforms]]))</f>
        <v>0</v>
      </c>
      <c r="I200" s="1">
        <f>--ISNUMBER(SEARCH("Android",Table2[[#This Row],[platforms]]))</f>
        <v>0</v>
      </c>
      <c r="J200" s="1">
        <f>--ISNUMBER(SEARCH("Linux",Table2[[#This Row],[platforms]]))</f>
        <v>0</v>
      </c>
      <c r="K200" s="1">
        <f>--ISNUMBER(SEARCH("iOS",Table2[[#This Row],[platforms]]))</f>
        <v>0</v>
      </c>
      <c r="L200" s="1">
        <f>--ISNUMBER(SEARCH("macOS",Table2[[#This Row],[platforms]]))</f>
        <v>0</v>
      </c>
      <c r="M200" s="1">
        <f>--ISNUMBER(SEARCH("Cloud",Table2[[#This Row],[platforms]]))</f>
        <v>0</v>
      </c>
      <c r="N200" s="1" t="str">
        <f>IF(Table2[[#This Row],[platforms]]="","",--OR(Table2[[#This Row],[platforms]]="N/A",ISNUMBER(SEARCH("not specified",LOWER(Table2[[#This Row],[platforms]]))),ISNUMBER(SEARCH("unspecified",LOWER(Table2[[#This Row],[platforms]])))))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3C3E-A1C3-1E47-AFF9-4DF6C638789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Uju E Okoye</dc:creator>
  <cp:lastModifiedBy>Uju E Okoye</cp:lastModifiedBy>
  <dcterms:created xsi:type="dcterms:W3CDTF">2025-09-22T21:08:37Z</dcterms:created>
  <dcterms:modified xsi:type="dcterms:W3CDTF">2026-02-06T11:40:31Z</dcterms:modified>
</cp:coreProperties>
</file>